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ownloads\"/>
    </mc:Choice>
  </mc:AlternateContent>
  <xr:revisionPtr revIDLastSave="0" documentId="13_ncr:1_{7F4EC956-0B76-4039-B513-7820277F7DA0}" xr6:coauthVersionLast="47" xr6:coauthVersionMax="47" xr10:uidLastSave="{00000000-0000-0000-0000-000000000000}"/>
  <bookViews>
    <workbookView xWindow="-120" yWindow="-120" windowWidth="29040" windowHeight="15840" xr2:uid="{F2D18DA7-AA2C-8C49-89F8-CB370722ABF9}"/>
  </bookViews>
  <sheets>
    <sheet name="Page Sessions" sheetId="1" r:id="rId1"/>
    <sheet name="Total Traffic" sheetId="2" r:id="rId2"/>
  </sheets>
  <definedNames>
    <definedName name="_xlnm._FilterDatabase" localSheetId="0" hidden="1">'Page Sessions'!$A$3:$S$824</definedName>
    <definedName name="_xlnm._FilterDatabase" localSheetId="1" hidden="1">'Total Traffic'!$A$1:$C$822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203" i="2"/>
  <c r="G203" i="2"/>
  <c r="F204" i="2"/>
  <c r="G204" i="2"/>
  <c r="F205" i="2"/>
  <c r="G205" i="2"/>
  <c r="F206" i="2"/>
  <c r="G206" i="2"/>
  <c r="F207" i="2"/>
  <c r="G207" i="2"/>
  <c r="F208" i="2"/>
  <c r="G208" i="2"/>
  <c r="F209" i="2"/>
  <c r="G209" i="2"/>
  <c r="F210" i="2"/>
  <c r="G210" i="2"/>
  <c r="F211" i="2"/>
  <c r="G211" i="2"/>
  <c r="F212" i="2"/>
  <c r="G212" i="2"/>
  <c r="F213" i="2"/>
  <c r="G213" i="2"/>
  <c r="F214" i="2"/>
  <c r="G214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22" i="2"/>
  <c r="G222" i="2"/>
  <c r="F223" i="2"/>
  <c r="G223" i="2"/>
  <c r="F224" i="2"/>
  <c r="G224" i="2"/>
  <c r="F225" i="2"/>
  <c r="G225" i="2"/>
  <c r="F226" i="2"/>
  <c r="G226" i="2"/>
  <c r="F227" i="2"/>
  <c r="G227" i="2"/>
  <c r="F228" i="2"/>
  <c r="G228" i="2"/>
  <c r="F229" i="2"/>
  <c r="G229" i="2"/>
  <c r="F230" i="2"/>
  <c r="G230" i="2"/>
  <c r="F231" i="2"/>
  <c r="G231" i="2"/>
  <c r="F232" i="2"/>
  <c r="G232" i="2"/>
  <c r="F233" i="2"/>
  <c r="G233" i="2"/>
  <c r="F234" i="2"/>
  <c r="G234" i="2"/>
  <c r="F235" i="2"/>
  <c r="G235" i="2"/>
  <c r="F236" i="2"/>
  <c r="G236" i="2"/>
  <c r="F237" i="2"/>
  <c r="G237" i="2"/>
  <c r="F238" i="2"/>
  <c r="G238" i="2"/>
  <c r="F239" i="2"/>
  <c r="G239" i="2"/>
  <c r="F240" i="2"/>
  <c r="G240" i="2"/>
  <c r="F241" i="2"/>
  <c r="G241" i="2"/>
  <c r="F242" i="2"/>
  <c r="G242" i="2"/>
  <c r="F243" i="2"/>
  <c r="G243" i="2"/>
  <c r="F244" i="2"/>
  <c r="G244" i="2"/>
  <c r="F245" i="2"/>
  <c r="G245" i="2"/>
  <c r="F246" i="2"/>
  <c r="G246" i="2"/>
  <c r="F247" i="2"/>
  <c r="G247" i="2"/>
  <c r="F248" i="2"/>
  <c r="G248" i="2"/>
  <c r="F249" i="2"/>
  <c r="G249" i="2"/>
  <c r="F250" i="2"/>
  <c r="G250" i="2"/>
  <c r="F251" i="2"/>
  <c r="G251" i="2"/>
  <c r="F252" i="2"/>
  <c r="G252" i="2"/>
  <c r="F253" i="2"/>
  <c r="G253" i="2"/>
  <c r="F254" i="2"/>
  <c r="G254" i="2"/>
  <c r="F255" i="2"/>
  <c r="G255" i="2"/>
  <c r="F256" i="2"/>
  <c r="G256" i="2"/>
  <c r="F257" i="2"/>
  <c r="G257" i="2"/>
  <c r="F258" i="2"/>
  <c r="G258" i="2"/>
  <c r="F259" i="2"/>
  <c r="G259" i="2"/>
  <c r="F260" i="2"/>
  <c r="G260" i="2"/>
  <c r="F261" i="2"/>
  <c r="G261" i="2"/>
  <c r="F262" i="2"/>
  <c r="G262" i="2"/>
  <c r="F263" i="2"/>
  <c r="G263" i="2"/>
  <c r="F264" i="2"/>
  <c r="G264" i="2"/>
  <c r="F265" i="2"/>
  <c r="G265" i="2"/>
  <c r="F266" i="2"/>
  <c r="G266" i="2"/>
  <c r="F267" i="2"/>
  <c r="G267" i="2"/>
  <c r="F268" i="2"/>
  <c r="G268" i="2"/>
  <c r="F269" i="2"/>
  <c r="G269" i="2"/>
  <c r="F270" i="2"/>
  <c r="G270" i="2"/>
  <c r="F271" i="2"/>
  <c r="G271" i="2"/>
  <c r="F272" i="2"/>
  <c r="G272" i="2"/>
  <c r="F273" i="2"/>
  <c r="G273" i="2"/>
  <c r="F274" i="2"/>
  <c r="G274" i="2"/>
  <c r="F275" i="2"/>
  <c r="G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F284" i="2"/>
  <c r="G284" i="2"/>
  <c r="F285" i="2"/>
  <c r="G285" i="2"/>
  <c r="F286" i="2"/>
  <c r="G286" i="2"/>
  <c r="F287" i="2"/>
  <c r="G287" i="2"/>
  <c r="F288" i="2"/>
  <c r="G288" i="2"/>
  <c r="F289" i="2"/>
  <c r="G289" i="2"/>
  <c r="F290" i="2"/>
  <c r="G290" i="2"/>
  <c r="F291" i="2"/>
  <c r="G291" i="2"/>
  <c r="F292" i="2"/>
  <c r="G292" i="2"/>
  <c r="F293" i="2"/>
  <c r="G293" i="2"/>
  <c r="F294" i="2"/>
  <c r="G294" i="2"/>
  <c r="F295" i="2"/>
  <c r="G295" i="2"/>
  <c r="F296" i="2"/>
  <c r="G296" i="2"/>
  <c r="F297" i="2"/>
  <c r="G297" i="2"/>
  <c r="F298" i="2"/>
  <c r="G298" i="2"/>
  <c r="F299" i="2"/>
  <c r="G299" i="2"/>
  <c r="F300" i="2"/>
  <c r="G300" i="2"/>
  <c r="F301" i="2"/>
  <c r="G301" i="2"/>
  <c r="F302" i="2"/>
  <c r="G302" i="2"/>
  <c r="F303" i="2"/>
  <c r="G303" i="2"/>
  <c r="F304" i="2"/>
  <c r="G304" i="2"/>
  <c r="F305" i="2"/>
  <c r="G305" i="2"/>
  <c r="F306" i="2"/>
  <c r="G306" i="2"/>
  <c r="F307" i="2"/>
  <c r="G307" i="2"/>
  <c r="F308" i="2"/>
  <c r="G308" i="2"/>
  <c r="F309" i="2"/>
  <c r="G309" i="2"/>
  <c r="F310" i="2"/>
  <c r="G310" i="2"/>
  <c r="F311" i="2"/>
  <c r="G311" i="2"/>
  <c r="F312" i="2"/>
  <c r="G312" i="2"/>
  <c r="F313" i="2"/>
  <c r="G313" i="2"/>
  <c r="F314" i="2"/>
  <c r="G314" i="2"/>
  <c r="F315" i="2"/>
  <c r="G315" i="2"/>
  <c r="F316" i="2"/>
  <c r="G316" i="2"/>
  <c r="F317" i="2"/>
  <c r="G317" i="2"/>
  <c r="F318" i="2"/>
  <c r="G318" i="2"/>
  <c r="F319" i="2"/>
  <c r="G319" i="2"/>
  <c r="F320" i="2"/>
  <c r="G320" i="2"/>
  <c r="F321" i="2"/>
  <c r="G321" i="2"/>
  <c r="F322" i="2"/>
  <c r="G322" i="2"/>
  <c r="F323" i="2"/>
  <c r="G323" i="2"/>
  <c r="F324" i="2"/>
  <c r="G324" i="2"/>
  <c r="F325" i="2"/>
  <c r="G325" i="2"/>
  <c r="F326" i="2"/>
  <c r="G326" i="2"/>
  <c r="F327" i="2"/>
  <c r="G327" i="2"/>
  <c r="F328" i="2"/>
  <c r="G328" i="2"/>
  <c r="F329" i="2"/>
  <c r="G329" i="2"/>
  <c r="F330" i="2"/>
  <c r="G330" i="2"/>
  <c r="F331" i="2"/>
  <c r="G331" i="2"/>
  <c r="F332" i="2"/>
  <c r="G332" i="2"/>
  <c r="F333" i="2"/>
  <c r="G333" i="2"/>
  <c r="F334" i="2"/>
  <c r="G334" i="2"/>
  <c r="F335" i="2"/>
  <c r="G335" i="2"/>
  <c r="F336" i="2"/>
  <c r="G336" i="2"/>
  <c r="F337" i="2"/>
  <c r="G337" i="2"/>
  <c r="F338" i="2"/>
  <c r="G338" i="2"/>
  <c r="F339" i="2"/>
  <c r="G339" i="2"/>
  <c r="F340" i="2"/>
  <c r="G340" i="2"/>
  <c r="F341" i="2"/>
  <c r="G341" i="2"/>
  <c r="F342" i="2"/>
  <c r="G342" i="2"/>
  <c r="F343" i="2"/>
  <c r="G343" i="2"/>
  <c r="F344" i="2"/>
  <c r="G344" i="2"/>
  <c r="F345" i="2"/>
  <c r="G345" i="2"/>
  <c r="F346" i="2"/>
  <c r="G346" i="2"/>
  <c r="F347" i="2"/>
  <c r="G347" i="2"/>
  <c r="F348" i="2"/>
  <c r="G348" i="2"/>
  <c r="F349" i="2"/>
  <c r="G349" i="2"/>
  <c r="F350" i="2"/>
  <c r="G350" i="2"/>
  <c r="F351" i="2"/>
  <c r="G351" i="2"/>
  <c r="F352" i="2"/>
  <c r="G352" i="2"/>
  <c r="F353" i="2"/>
  <c r="G353" i="2"/>
  <c r="F354" i="2"/>
  <c r="G354" i="2"/>
  <c r="F355" i="2"/>
  <c r="G355" i="2"/>
  <c r="F356" i="2"/>
  <c r="G356" i="2"/>
  <c r="F357" i="2"/>
  <c r="G357" i="2"/>
  <c r="F358" i="2"/>
  <c r="G358" i="2"/>
  <c r="F359" i="2"/>
  <c r="G359" i="2"/>
  <c r="F360" i="2"/>
  <c r="G360" i="2"/>
  <c r="F361" i="2"/>
  <c r="G361" i="2"/>
  <c r="F362" i="2"/>
  <c r="G362" i="2"/>
  <c r="F363" i="2"/>
  <c r="G363" i="2"/>
  <c r="F364" i="2"/>
  <c r="G364" i="2"/>
  <c r="F365" i="2"/>
  <c r="G365" i="2"/>
  <c r="F366" i="2"/>
  <c r="G366" i="2"/>
  <c r="F367" i="2"/>
  <c r="G367" i="2"/>
  <c r="F368" i="2"/>
  <c r="G368" i="2"/>
  <c r="F369" i="2"/>
  <c r="G369" i="2"/>
  <c r="F370" i="2"/>
  <c r="G370" i="2"/>
  <c r="F371" i="2"/>
  <c r="G371" i="2"/>
  <c r="F372" i="2"/>
  <c r="G372" i="2"/>
  <c r="F373" i="2"/>
  <c r="G373" i="2"/>
  <c r="F374" i="2"/>
  <c r="G374" i="2"/>
  <c r="F375" i="2"/>
  <c r="G375" i="2"/>
  <c r="F376" i="2"/>
  <c r="G376" i="2"/>
  <c r="F377" i="2"/>
  <c r="G377" i="2"/>
  <c r="F378" i="2"/>
  <c r="G378" i="2"/>
  <c r="F379" i="2"/>
  <c r="G379" i="2"/>
  <c r="F380" i="2"/>
  <c r="G380" i="2"/>
  <c r="F381" i="2"/>
  <c r="G381" i="2"/>
  <c r="F382" i="2"/>
  <c r="G382" i="2"/>
  <c r="F383" i="2"/>
  <c r="G383" i="2"/>
  <c r="F384" i="2"/>
  <c r="G384" i="2"/>
  <c r="F385" i="2"/>
  <c r="G385" i="2"/>
  <c r="F386" i="2"/>
  <c r="G386" i="2"/>
  <c r="F387" i="2"/>
  <c r="G387" i="2"/>
  <c r="F388" i="2"/>
  <c r="G388" i="2"/>
  <c r="F389" i="2"/>
  <c r="G389" i="2"/>
  <c r="F390" i="2"/>
  <c r="G390" i="2"/>
  <c r="F391" i="2"/>
  <c r="G391" i="2"/>
  <c r="F392" i="2"/>
  <c r="G392" i="2"/>
  <c r="F393" i="2"/>
  <c r="G393" i="2"/>
  <c r="F394" i="2"/>
  <c r="G394" i="2"/>
  <c r="F395" i="2"/>
  <c r="G395" i="2"/>
  <c r="F396" i="2"/>
  <c r="G396" i="2"/>
  <c r="F397" i="2"/>
  <c r="G397" i="2"/>
  <c r="F398" i="2"/>
  <c r="G398" i="2"/>
  <c r="F399" i="2"/>
  <c r="G399" i="2"/>
  <c r="F400" i="2"/>
  <c r="G400" i="2"/>
  <c r="F401" i="2"/>
  <c r="G401" i="2"/>
  <c r="F402" i="2"/>
  <c r="G402" i="2"/>
  <c r="F403" i="2"/>
  <c r="G403" i="2"/>
  <c r="F404" i="2"/>
  <c r="G404" i="2"/>
  <c r="F405" i="2"/>
  <c r="G405" i="2"/>
  <c r="F406" i="2"/>
  <c r="G406" i="2"/>
  <c r="F407" i="2"/>
  <c r="G407" i="2"/>
  <c r="F408" i="2"/>
  <c r="G408" i="2"/>
  <c r="F409" i="2"/>
  <c r="G409" i="2"/>
  <c r="F410" i="2"/>
  <c r="G410" i="2"/>
  <c r="F411" i="2"/>
  <c r="G411" i="2"/>
  <c r="F412" i="2"/>
  <c r="G412" i="2"/>
  <c r="F413" i="2"/>
  <c r="G413" i="2"/>
  <c r="F414" i="2"/>
  <c r="G414" i="2"/>
  <c r="F415" i="2"/>
  <c r="G415" i="2"/>
  <c r="F416" i="2"/>
  <c r="G416" i="2"/>
  <c r="F417" i="2"/>
  <c r="G417" i="2"/>
  <c r="F418" i="2"/>
  <c r="G418" i="2"/>
  <c r="F419" i="2"/>
  <c r="G419" i="2"/>
  <c r="F420" i="2"/>
  <c r="G420" i="2"/>
  <c r="F421" i="2"/>
  <c r="G421" i="2"/>
  <c r="F422" i="2"/>
  <c r="G422" i="2"/>
  <c r="F423" i="2"/>
  <c r="G423" i="2"/>
  <c r="F424" i="2"/>
  <c r="G424" i="2"/>
  <c r="F425" i="2"/>
  <c r="G425" i="2"/>
  <c r="F426" i="2"/>
  <c r="G426" i="2"/>
  <c r="F427" i="2"/>
  <c r="G427" i="2"/>
  <c r="F428" i="2"/>
  <c r="G428" i="2"/>
  <c r="F429" i="2"/>
  <c r="G429" i="2"/>
  <c r="F430" i="2"/>
  <c r="G430" i="2"/>
  <c r="F431" i="2"/>
  <c r="G431" i="2"/>
  <c r="F432" i="2"/>
  <c r="G432" i="2"/>
  <c r="F433" i="2"/>
  <c r="G433" i="2"/>
  <c r="F434" i="2"/>
  <c r="G434" i="2"/>
  <c r="F435" i="2"/>
  <c r="G435" i="2"/>
  <c r="F436" i="2"/>
  <c r="G436" i="2"/>
  <c r="F437" i="2"/>
  <c r="G437" i="2"/>
  <c r="F438" i="2"/>
  <c r="G438" i="2"/>
  <c r="F439" i="2"/>
  <c r="G439" i="2"/>
  <c r="F440" i="2"/>
  <c r="G440" i="2"/>
  <c r="F441" i="2"/>
  <c r="G441" i="2"/>
  <c r="F442" i="2"/>
  <c r="G442" i="2"/>
  <c r="F443" i="2"/>
  <c r="G443" i="2"/>
  <c r="F444" i="2"/>
  <c r="G444" i="2"/>
  <c r="F445" i="2"/>
  <c r="G445" i="2"/>
  <c r="F446" i="2"/>
  <c r="G446" i="2"/>
  <c r="F447" i="2"/>
  <c r="G447" i="2"/>
  <c r="F448" i="2"/>
  <c r="G448" i="2"/>
  <c r="F449" i="2"/>
  <c r="G449" i="2"/>
  <c r="F450" i="2"/>
  <c r="G450" i="2"/>
  <c r="F451" i="2"/>
  <c r="G451" i="2"/>
  <c r="F452" i="2"/>
  <c r="G452" i="2"/>
  <c r="F453" i="2"/>
  <c r="G453" i="2"/>
  <c r="F454" i="2"/>
  <c r="G454" i="2"/>
  <c r="F455" i="2"/>
  <c r="G455" i="2"/>
  <c r="F456" i="2"/>
  <c r="G456" i="2"/>
  <c r="F457" i="2"/>
  <c r="G457" i="2"/>
  <c r="F458" i="2"/>
  <c r="G458" i="2"/>
  <c r="F459" i="2"/>
  <c r="G459" i="2"/>
  <c r="F460" i="2"/>
  <c r="G460" i="2"/>
  <c r="F461" i="2"/>
  <c r="G461" i="2"/>
  <c r="F462" i="2"/>
  <c r="G462" i="2"/>
  <c r="F463" i="2"/>
  <c r="G463" i="2"/>
  <c r="F464" i="2"/>
  <c r="G464" i="2"/>
  <c r="F465" i="2"/>
  <c r="G465" i="2"/>
  <c r="F466" i="2"/>
  <c r="G466" i="2"/>
  <c r="F467" i="2"/>
  <c r="G467" i="2"/>
  <c r="F468" i="2"/>
  <c r="G468" i="2"/>
  <c r="F469" i="2"/>
  <c r="G469" i="2"/>
  <c r="F470" i="2"/>
  <c r="G470" i="2"/>
  <c r="F471" i="2"/>
  <c r="G471" i="2"/>
  <c r="F472" i="2"/>
  <c r="G472" i="2"/>
  <c r="F473" i="2"/>
  <c r="G473" i="2"/>
  <c r="F474" i="2"/>
  <c r="G474" i="2"/>
  <c r="F475" i="2"/>
  <c r="G475" i="2"/>
  <c r="F476" i="2"/>
  <c r="G476" i="2"/>
  <c r="F477" i="2"/>
  <c r="G477" i="2"/>
  <c r="F478" i="2"/>
  <c r="G478" i="2"/>
  <c r="F479" i="2"/>
  <c r="G479" i="2"/>
  <c r="F480" i="2"/>
  <c r="G480" i="2"/>
  <c r="F481" i="2"/>
  <c r="G481" i="2"/>
  <c r="F482" i="2"/>
  <c r="G482" i="2"/>
  <c r="F483" i="2"/>
  <c r="G483" i="2"/>
  <c r="F484" i="2"/>
  <c r="G484" i="2"/>
  <c r="F485" i="2"/>
  <c r="G485" i="2"/>
  <c r="F486" i="2"/>
  <c r="G486" i="2"/>
  <c r="F487" i="2"/>
  <c r="G487" i="2"/>
  <c r="F488" i="2"/>
  <c r="G488" i="2"/>
  <c r="F489" i="2"/>
  <c r="G489" i="2"/>
  <c r="F490" i="2"/>
  <c r="G490" i="2"/>
  <c r="F491" i="2"/>
  <c r="G491" i="2"/>
  <c r="F492" i="2"/>
  <c r="G492" i="2"/>
  <c r="F493" i="2"/>
  <c r="G493" i="2"/>
  <c r="F494" i="2"/>
  <c r="G494" i="2"/>
  <c r="F495" i="2"/>
  <c r="G495" i="2"/>
  <c r="F496" i="2"/>
  <c r="G496" i="2"/>
  <c r="F497" i="2"/>
  <c r="G497" i="2"/>
  <c r="F498" i="2"/>
  <c r="G498" i="2"/>
  <c r="F499" i="2"/>
  <c r="G499" i="2"/>
  <c r="F500" i="2"/>
  <c r="G500" i="2"/>
  <c r="F501" i="2"/>
  <c r="G501" i="2"/>
  <c r="F502" i="2"/>
  <c r="G502" i="2"/>
  <c r="F503" i="2"/>
  <c r="G503" i="2"/>
  <c r="F504" i="2"/>
  <c r="G504" i="2"/>
  <c r="F505" i="2"/>
  <c r="G505" i="2"/>
  <c r="F506" i="2"/>
  <c r="G506" i="2"/>
  <c r="F507" i="2"/>
  <c r="G507" i="2"/>
  <c r="F508" i="2"/>
  <c r="G508" i="2"/>
  <c r="F509" i="2"/>
  <c r="G509" i="2"/>
  <c r="F510" i="2"/>
  <c r="G510" i="2"/>
  <c r="F511" i="2"/>
  <c r="G511" i="2"/>
  <c r="F512" i="2"/>
  <c r="G512" i="2"/>
  <c r="F513" i="2"/>
  <c r="G513" i="2"/>
  <c r="F514" i="2"/>
  <c r="G514" i="2"/>
  <c r="F515" i="2"/>
  <c r="G515" i="2"/>
  <c r="F516" i="2"/>
  <c r="G516" i="2"/>
  <c r="F517" i="2"/>
  <c r="G517" i="2"/>
  <c r="F518" i="2"/>
  <c r="G518" i="2"/>
  <c r="F519" i="2"/>
  <c r="G519" i="2"/>
  <c r="F520" i="2"/>
  <c r="G520" i="2"/>
  <c r="F521" i="2"/>
  <c r="G521" i="2"/>
  <c r="F522" i="2"/>
  <c r="G522" i="2"/>
  <c r="F523" i="2"/>
  <c r="G523" i="2"/>
  <c r="F524" i="2"/>
  <c r="G524" i="2"/>
  <c r="F525" i="2"/>
  <c r="G525" i="2"/>
  <c r="F526" i="2"/>
  <c r="G526" i="2"/>
  <c r="F527" i="2"/>
  <c r="G527" i="2"/>
  <c r="F528" i="2"/>
  <c r="G528" i="2"/>
  <c r="F529" i="2"/>
  <c r="G529" i="2"/>
  <c r="F530" i="2"/>
  <c r="G530" i="2"/>
  <c r="F531" i="2"/>
  <c r="G531" i="2"/>
  <c r="F532" i="2"/>
  <c r="G532" i="2"/>
  <c r="F533" i="2"/>
  <c r="G533" i="2"/>
  <c r="F534" i="2"/>
  <c r="G534" i="2"/>
  <c r="F535" i="2"/>
  <c r="G535" i="2"/>
  <c r="F536" i="2"/>
  <c r="G536" i="2"/>
  <c r="F537" i="2"/>
  <c r="G537" i="2"/>
  <c r="F538" i="2"/>
  <c r="G538" i="2"/>
  <c r="F539" i="2"/>
  <c r="G539" i="2"/>
  <c r="F540" i="2"/>
  <c r="G540" i="2"/>
  <c r="F541" i="2"/>
  <c r="G541" i="2"/>
  <c r="F542" i="2"/>
  <c r="G542" i="2"/>
  <c r="F543" i="2"/>
  <c r="G543" i="2"/>
  <c r="F544" i="2"/>
  <c r="G544" i="2"/>
  <c r="F545" i="2"/>
  <c r="G545" i="2"/>
  <c r="F546" i="2"/>
  <c r="G546" i="2"/>
  <c r="F547" i="2"/>
  <c r="G547" i="2"/>
  <c r="F548" i="2"/>
  <c r="G548" i="2"/>
  <c r="F549" i="2"/>
  <c r="G549" i="2"/>
  <c r="F550" i="2"/>
  <c r="G550" i="2"/>
  <c r="F551" i="2"/>
  <c r="G551" i="2"/>
  <c r="F552" i="2"/>
  <c r="G552" i="2"/>
  <c r="F553" i="2"/>
  <c r="G553" i="2"/>
  <c r="F554" i="2"/>
  <c r="G554" i="2"/>
  <c r="F555" i="2"/>
  <c r="G555" i="2"/>
  <c r="F556" i="2"/>
  <c r="G556" i="2"/>
  <c r="F557" i="2"/>
  <c r="G557" i="2"/>
  <c r="F558" i="2"/>
  <c r="G558" i="2"/>
  <c r="F559" i="2"/>
  <c r="G559" i="2"/>
  <c r="F560" i="2"/>
  <c r="G560" i="2"/>
  <c r="F561" i="2"/>
  <c r="G561" i="2"/>
  <c r="F562" i="2"/>
  <c r="G562" i="2"/>
  <c r="F563" i="2"/>
  <c r="G563" i="2"/>
  <c r="F564" i="2"/>
  <c r="G564" i="2"/>
  <c r="F565" i="2"/>
  <c r="G565" i="2"/>
  <c r="F566" i="2"/>
  <c r="G566" i="2"/>
  <c r="F567" i="2"/>
  <c r="G567" i="2"/>
  <c r="F568" i="2"/>
  <c r="G568" i="2"/>
  <c r="F569" i="2"/>
  <c r="G569" i="2"/>
  <c r="F570" i="2"/>
  <c r="G570" i="2"/>
  <c r="F571" i="2"/>
  <c r="G571" i="2"/>
  <c r="F572" i="2"/>
  <c r="G572" i="2"/>
  <c r="F573" i="2"/>
  <c r="G573" i="2"/>
  <c r="F574" i="2"/>
  <c r="G574" i="2"/>
  <c r="F575" i="2"/>
  <c r="G575" i="2"/>
  <c r="F576" i="2"/>
  <c r="G576" i="2"/>
  <c r="F577" i="2"/>
  <c r="G577" i="2"/>
  <c r="F578" i="2"/>
  <c r="G578" i="2"/>
  <c r="F579" i="2"/>
  <c r="G579" i="2"/>
  <c r="F580" i="2"/>
  <c r="G580" i="2"/>
  <c r="F581" i="2"/>
  <c r="G581" i="2"/>
  <c r="F582" i="2"/>
  <c r="G582" i="2"/>
  <c r="F583" i="2"/>
  <c r="G583" i="2"/>
  <c r="F584" i="2"/>
  <c r="G584" i="2"/>
  <c r="F585" i="2"/>
  <c r="G585" i="2"/>
  <c r="F586" i="2"/>
  <c r="G586" i="2"/>
  <c r="F587" i="2"/>
  <c r="G587" i="2"/>
  <c r="F588" i="2"/>
  <c r="G588" i="2"/>
  <c r="F589" i="2"/>
  <c r="G589" i="2"/>
  <c r="F590" i="2"/>
  <c r="G590" i="2"/>
  <c r="F591" i="2"/>
  <c r="G591" i="2"/>
  <c r="F592" i="2"/>
  <c r="G592" i="2"/>
  <c r="F593" i="2"/>
  <c r="G593" i="2"/>
  <c r="F594" i="2"/>
  <c r="G594" i="2"/>
  <c r="F595" i="2"/>
  <c r="G595" i="2"/>
  <c r="F596" i="2"/>
  <c r="G596" i="2"/>
  <c r="F597" i="2"/>
  <c r="G597" i="2"/>
  <c r="F598" i="2"/>
  <c r="G598" i="2"/>
  <c r="F599" i="2"/>
  <c r="G599" i="2"/>
  <c r="F600" i="2"/>
  <c r="G600" i="2"/>
  <c r="F601" i="2"/>
  <c r="G601" i="2"/>
  <c r="F602" i="2"/>
  <c r="G602" i="2"/>
  <c r="F603" i="2"/>
  <c r="G603" i="2"/>
  <c r="F604" i="2"/>
  <c r="G604" i="2"/>
  <c r="F605" i="2"/>
  <c r="G605" i="2"/>
  <c r="F606" i="2"/>
  <c r="G606" i="2"/>
  <c r="F607" i="2"/>
  <c r="G607" i="2"/>
  <c r="F608" i="2"/>
  <c r="G608" i="2"/>
  <c r="F609" i="2"/>
  <c r="G609" i="2"/>
  <c r="F610" i="2"/>
  <c r="G610" i="2"/>
  <c r="F611" i="2"/>
  <c r="G611" i="2"/>
  <c r="F612" i="2"/>
  <c r="G612" i="2"/>
  <c r="F613" i="2"/>
  <c r="G613" i="2"/>
  <c r="F614" i="2"/>
  <c r="G614" i="2"/>
  <c r="F615" i="2"/>
  <c r="G615" i="2"/>
  <c r="F616" i="2"/>
  <c r="G616" i="2"/>
  <c r="F617" i="2"/>
  <c r="G617" i="2"/>
  <c r="F618" i="2"/>
  <c r="G618" i="2"/>
  <c r="F619" i="2"/>
  <c r="G619" i="2"/>
  <c r="F620" i="2"/>
  <c r="G620" i="2"/>
  <c r="F621" i="2"/>
  <c r="G621" i="2"/>
  <c r="F622" i="2"/>
  <c r="G622" i="2"/>
  <c r="F623" i="2"/>
  <c r="G623" i="2"/>
  <c r="F624" i="2"/>
  <c r="G624" i="2"/>
  <c r="F625" i="2"/>
  <c r="G625" i="2"/>
  <c r="F626" i="2"/>
  <c r="G626" i="2"/>
  <c r="F627" i="2"/>
  <c r="G627" i="2"/>
  <c r="F628" i="2"/>
  <c r="G628" i="2"/>
  <c r="F629" i="2"/>
  <c r="G629" i="2"/>
  <c r="F630" i="2"/>
  <c r="G630" i="2"/>
  <c r="F631" i="2"/>
  <c r="G631" i="2"/>
  <c r="F632" i="2"/>
  <c r="G632" i="2"/>
  <c r="F633" i="2"/>
  <c r="G633" i="2"/>
  <c r="F634" i="2"/>
  <c r="G634" i="2"/>
  <c r="F635" i="2"/>
  <c r="G635" i="2"/>
  <c r="F636" i="2"/>
  <c r="G636" i="2"/>
  <c r="F637" i="2"/>
  <c r="G637" i="2"/>
  <c r="F638" i="2"/>
  <c r="G638" i="2"/>
  <c r="F639" i="2"/>
  <c r="G639" i="2"/>
  <c r="F640" i="2"/>
  <c r="G640" i="2"/>
  <c r="F641" i="2"/>
  <c r="G641" i="2"/>
  <c r="F642" i="2"/>
  <c r="G642" i="2"/>
  <c r="F643" i="2"/>
  <c r="G643" i="2"/>
  <c r="F644" i="2"/>
  <c r="G644" i="2"/>
  <c r="F645" i="2"/>
  <c r="G645" i="2"/>
  <c r="F646" i="2"/>
  <c r="G646" i="2"/>
  <c r="F647" i="2"/>
  <c r="G647" i="2"/>
  <c r="F648" i="2"/>
  <c r="G648" i="2"/>
  <c r="F649" i="2"/>
  <c r="G649" i="2"/>
  <c r="F650" i="2"/>
  <c r="G650" i="2"/>
  <c r="F651" i="2"/>
  <c r="G651" i="2"/>
  <c r="F652" i="2"/>
  <c r="G652" i="2"/>
  <c r="F653" i="2"/>
  <c r="G653" i="2"/>
  <c r="F654" i="2"/>
  <c r="G654" i="2"/>
  <c r="F655" i="2"/>
  <c r="G655" i="2"/>
  <c r="F656" i="2"/>
  <c r="G656" i="2"/>
  <c r="F657" i="2"/>
  <c r="G657" i="2"/>
  <c r="F658" i="2"/>
  <c r="G658" i="2"/>
  <c r="F659" i="2"/>
  <c r="G659" i="2"/>
  <c r="F660" i="2"/>
  <c r="G660" i="2"/>
  <c r="F661" i="2"/>
  <c r="G661" i="2"/>
  <c r="F662" i="2"/>
  <c r="G662" i="2"/>
  <c r="F663" i="2"/>
  <c r="G663" i="2"/>
  <c r="F664" i="2"/>
  <c r="G664" i="2"/>
  <c r="F665" i="2"/>
  <c r="G665" i="2"/>
  <c r="F666" i="2"/>
  <c r="G666" i="2"/>
  <c r="F667" i="2"/>
  <c r="G667" i="2"/>
  <c r="F668" i="2"/>
  <c r="G668" i="2"/>
  <c r="F669" i="2"/>
  <c r="G669" i="2"/>
  <c r="F670" i="2"/>
  <c r="G670" i="2"/>
  <c r="F671" i="2"/>
  <c r="G671" i="2"/>
  <c r="F672" i="2"/>
  <c r="G672" i="2"/>
  <c r="F673" i="2"/>
  <c r="G673" i="2"/>
  <c r="F674" i="2"/>
  <c r="G674" i="2"/>
  <c r="F675" i="2"/>
  <c r="G675" i="2"/>
  <c r="F676" i="2"/>
  <c r="G676" i="2"/>
  <c r="F677" i="2"/>
  <c r="G677" i="2"/>
  <c r="F678" i="2"/>
  <c r="G678" i="2"/>
  <c r="F679" i="2"/>
  <c r="G679" i="2"/>
  <c r="F680" i="2"/>
  <c r="G680" i="2"/>
  <c r="F681" i="2"/>
  <c r="G681" i="2"/>
  <c r="F682" i="2"/>
  <c r="G682" i="2"/>
  <c r="F683" i="2"/>
  <c r="G683" i="2"/>
  <c r="F684" i="2"/>
  <c r="G684" i="2"/>
  <c r="F685" i="2"/>
  <c r="G685" i="2"/>
  <c r="F686" i="2"/>
  <c r="G686" i="2"/>
  <c r="F687" i="2"/>
  <c r="G687" i="2"/>
  <c r="F688" i="2"/>
  <c r="G688" i="2"/>
  <c r="F689" i="2"/>
  <c r="G689" i="2"/>
  <c r="F690" i="2"/>
  <c r="G690" i="2"/>
  <c r="F691" i="2"/>
  <c r="G691" i="2"/>
  <c r="F692" i="2"/>
  <c r="G692" i="2"/>
  <c r="F693" i="2"/>
  <c r="G693" i="2"/>
  <c r="F694" i="2"/>
  <c r="G694" i="2"/>
  <c r="F695" i="2"/>
  <c r="G695" i="2"/>
  <c r="F696" i="2"/>
  <c r="G696" i="2"/>
  <c r="F697" i="2"/>
  <c r="G697" i="2"/>
  <c r="F698" i="2"/>
  <c r="G698" i="2"/>
  <c r="F699" i="2"/>
  <c r="G699" i="2"/>
  <c r="F700" i="2"/>
  <c r="G700" i="2"/>
  <c r="F701" i="2"/>
  <c r="G701" i="2"/>
  <c r="F702" i="2"/>
  <c r="G702" i="2"/>
  <c r="F703" i="2"/>
  <c r="G703" i="2"/>
  <c r="F704" i="2"/>
  <c r="G704" i="2"/>
  <c r="F705" i="2"/>
  <c r="G705" i="2"/>
  <c r="F706" i="2"/>
  <c r="G706" i="2"/>
  <c r="F707" i="2"/>
  <c r="G707" i="2"/>
  <c r="F708" i="2"/>
  <c r="G708" i="2"/>
  <c r="F709" i="2"/>
  <c r="G709" i="2"/>
  <c r="F710" i="2"/>
  <c r="G710" i="2"/>
  <c r="F711" i="2"/>
  <c r="G711" i="2"/>
  <c r="F712" i="2"/>
  <c r="G712" i="2"/>
  <c r="F713" i="2"/>
  <c r="G713" i="2"/>
  <c r="F714" i="2"/>
  <c r="G714" i="2"/>
  <c r="F715" i="2"/>
  <c r="G715" i="2"/>
  <c r="F716" i="2"/>
  <c r="G716" i="2"/>
  <c r="F717" i="2"/>
  <c r="G717" i="2"/>
  <c r="F718" i="2"/>
  <c r="G718" i="2"/>
  <c r="F719" i="2"/>
  <c r="G719" i="2"/>
  <c r="F720" i="2"/>
  <c r="G720" i="2"/>
  <c r="F721" i="2"/>
  <c r="G721" i="2"/>
  <c r="F722" i="2"/>
  <c r="G722" i="2"/>
  <c r="F723" i="2"/>
  <c r="G723" i="2"/>
  <c r="F724" i="2"/>
  <c r="G724" i="2"/>
  <c r="F725" i="2"/>
  <c r="G725" i="2"/>
  <c r="F726" i="2"/>
  <c r="G726" i="2"/>
  <c r="F727" i="2"/>
  <c r="G727" i="2"/>
  <c r="F728" i="2"/>
  <c r="G728" i="2"/>
  <c r="F729" i="2"/>
  <c r="G729" i="2"/>
  <c r="F730" i="2"/>
  <c r="G730" i="2"/>
  <c r="F731" i="2"/>
  <c r="G731" i="2"/>
  <c r="F732" i="2"/>
  <c r="G732" i="2"/>
  <c r="F733" i="2"/>
  <c r="G733" i="2"/>
  <c r="F734" i="2"/>
  <c r="G734" i="2"/>
  <c r="F735" i="2"/>
  <c r="G735" i="2"/>
  <c r="F736" i="2"/>
  <c r="G736" i="2"/>
  <c r="F737" i="2"/>
  <c r="G737" i="2"/>
  <c r="F738" i="2"/>
  <c r="G738" i="2"/>
  <c r="F739" i="2"/>
  <c r="G739" i="2"/>
  <c r="F740" i="2"/>
  <c r="G740" i="2"/>
  <c r="F741" i="2"/>
  <c r="G741" i="2"/>
  <c r="F742" i="2"/>
  <c r="G742" i="2"/>
  <c r="F743" i="2"/>
  <c r="G743" i="2"/>
  <c r="F744" i="2"/>
  <c r="G744" i="2"/>
  <c r="F745" i="2"/>
  <c r="G745" i="2"/>
  <c r="F746" i="2"/>
  <c r="G746" i="2"/>
  <c r="F747" i="2"/>
  <c r="G747" i="2"/>
  <c r="F748" i="2"/>
  <c r="G748" i="2"/>
  <c r="F749" i="2"/>
  <c r="G749" i="2"/>
  <c r="F750" i="2"/>
  <c r="G750" i="2"/>
  <c r="F751" i="2"/>
  <c r="G751" i="2"/>
  <c r="F752" i="2"/>
  <c r="G752" i="2"/>
  <c r="F753" i="2"/>
  <c r="G753" i="2"/>
  <c r="F754" i="2"/>
  <c r="G754" i="2"/>
  <c r="F755" i="2"/>
  <c r="G755" i="2"/>
  <c r="F756" i="2"/>
  <c r="G756" i="2"/>
  <c r="F757" i="2"/>
  <c r="G757" i="2"/>
  <c r="F758" i="2"/>
  <c r="G758" i="2"/>
  <c r="F759" i="2"/>
  <c r="G759" i="2"/>
  <c r="F760" i="2"/>
  <c r="G760" i="2"/>
  <c r="F761" i="2"/>
  <c r="G761" i="2"/>
  <c r="F762" i="2"/>
  <c r="G762" i="2"/>
  <c r="F763" i="2"/>
  <c r="G763" i="2"/>
  <c r="F764" i="2"/>
  <c r="G764" i="2"/>
  <c r="F765" i="2"/>
  <c r="G765" i="2"/>
  <c r="F766" i="2"/>
  <c r="G766" i="2"/>
  <c r="F767" i="2"/>
  <c r="G767" i="2"/>
  <c r="F768" i="2"/>
  <c r="G768" i="2"/>
  <c r="F769" i="2"/>
  <c r="G769" i="2"/>
  <c r="F770" i="2"/>
  <c r="G770" i="2"/>
  <c r="F771" i="2"/>
  <c r="G771" i="2"/>
  <c r="F772" i="2"/>
  <c r="G772" i="2"/>
  <c r="F773" i="2"/>
  <c r="G773" i="2"/>
  <c r="F774" i="2"/>
  <c r="G774" i="2"/>
  <c r="F775" i="2"/>
  <c r="G775" i="2"/>
  <c r="F776" i="2"/>
  <c r="G776" i="2"/>
  <c r="F777" i="2"/>
  <c r="G777" i="2"/>
  <c r="F778" i="2"/>
  <c r="G778" i="2"/>
  <c r="F779" i="2"/>
  <c r="G779" i="2"/>
  <c r="F780" i="2"/>
  <c r="G780" i="2"/>
  <c r="F781" i="2"/>
  <c r="G781" i="2"/>
  <c r="F782" i="2"/>
  <c r="G782" i="2"/>
  <c r="F783" i="2"/>
  <c r="G783" i="2"/>
  <c r="F784" i="2"/>
  <c r="G784" i="2"/>
  <c r="F785" i="2"/>
  <c r="G785" i="2"/>
  <c r="F786" i="2"/>
  <c r="G786" i="2"/>
  <c r="F787" i="2"/>
  <c r="G787" i="2"/>
  <c r="F788" i="2"/>
  <c r="G788" i="2"/>
  <c r="F789" i="2"/>
  <c r="G789" i="2"/>
  <c r="F790" i="2"/>
  <c r="G790" i="2"/>
  <c r="F791" i="2"/>
  <c r="G791" i="2"/>
  <c r="F792" i="2"/>
  <c r="G792" i="2"/>
  <c r="F793" i="2"/>
  <c r="G793" i="2"/>
  <c r="F794" i="2"/>
  <c r="G794" i="2"/>
  <c r="F795" i="2"/>
  <c r="G795" i="2"/>
  <c r="F796" i="2"/>
  <c r="G796" i="2"/>
  <c r="F797" i="2"/>
  <c r="G797" i="2"/>
  <c r="F798" i="2"/>
  <c r="G798" i="2"/>
  <c r="F799" i="2"/>
  <c r="G799" i="2"/>
  <c r="F800" i="2"/>
  <c r="G800" i="2"/>
  <c r="F801" i="2"/>
  <c r="G801" i="2"/>
  <c r="F802" i="2"/>
  <c r="G802" i="2"/>
  <c r="F803" i="2"/>
  <c r="G803" i="2"/>
  <c r="F804" i="2"/>
  <c r="G804" i="2"/>
  <c r="F805" i="2"/>
  <c r="G805" i="2"/>
  <c r="F806" i="2"/>
  <c r="G806" i="2"/>
  <c r="F807" i="2"/>
  <c r="G807" i="2"/>
  <c r="F808" i="2"/>
  <c r="G808" i="2"/>
  <c r="F809" i="2"/>
  <c r="G809" i="2"/>
  <c r="F810" i="2"/>
  <c r="G810" i="2"/>
  <c r="F811" i="2"/>
  <c r="G811" i="2"/>
  <c r="F812" i="2"/>
  <c r="G812" i="2"/>
  <c r="F813" i="2"/>
  <c r="G813" i="2"/>
  <c r="F814" i="2"/>
  <c r="G814" i="2"/>
  <c r="F815" i="2"/>
  <c r="G815" i="2"/>
  <c r="F816" i="2"/>
  <c r="G816" i="2"/>
  <c r="F817" i="2"/>
  <c r="G817" i="2"/>
  <c r="F818" i="2"/>
  <c r="G818" i="2"/>
  <c r="F819" i="2"/>
  <c r="G819" i="2"/>
  <c r="F820" i="2"/>
  <c r="G820" i="2"/>
  <c r="F821" i="2"/>
  <c r="G821" i="2"/>
  <c r="F822" i="2"/>
  <c r="G822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G9" i="2"/>
  <c r="F9" i="2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P13" i="1" s="1"/>
  <c r="M13" i="1"/>
  <c r="N13" i="1"/>
  <c r="L14" i="1"/>
  <c r="M14" i="1"/>
  <c r="N14" i="1"/>
  <c r="L15" i="1"/>
  <c r="M15" i="1"/>
  <c r="N15" i="1"/>
  <c r="L16" i="1"/>
  <c r="M16" i="1"/>
  <c r="N16" i="1"/>
  <c r="L17" i="1"/>
  <c r="P17" i="1" s="1"/>
  <c r="M17" i="1"/>
  <c r="Q17" i="1" s="1"/>
  <c r="N17" i="1"/>
  <c r="L18" i="1"/>
  <c r="M18" i="1"/>
  <c r="N18" i="1"/>
  <c r="L19" i="1"/>
  <c r="M19" i="1"/>
  <c r="N19" i="1"/>
  <c r="L20" i="1"/>
  <c r="M20" i="1"/>
  <c r="N20" i="1"/>
  <c r="L21" i="1"/>
  <c r="P21" i="1" s="1"/>
  <c r="M21" i="1"/>
  <c r="Q21" i="1" s="1"/>
  <c r="N21" i="1"/>
  <c r="L22" i="1"/>
  <c r="M22" i="1"/>
  <c r="N22" i="1"/>
  <c r="L23" i="1"/>
  <c r="M23" i="1"/>
  <c r="N23" i="1"/>
  <c r="L24" i="1"/>
  <c r="M24" i="1"/>
  <c r="N24" i="1"/>
  <c r="L25" i="1"/>
  <c r="P25" i="1" s="1"/>
  <c r="M25" i="1"/>
  <c r="Q25" i="1" s="1"/>
  <c r="N25" i="1"/>
  <c r="L26" i="1"/>
  <c r="M26" i="1"/>
  <c r="N26" i="1"/>
  <c r="L27" i="1"/>
  <c r="M27" i="1"/>
  <c r="N27" i="1"/>
  <c r="L28" i="1"/>
  <c r="M28" i="1"/>
  <c r="N28" i="1"/>
  <c r="L29" i="1"/>
  <c r="M29" i="1"/>
  <c r="Q29" i="1" s="1"/>
  <c r="N29" i="1"/>
  <c r="L30" i="1"/>
  <c r="M30" i="1"/>
  <c r="N30" i="1"/>
  <c r="L31" i="1"/>
  <c r="M31" i="1"/>
  <c r="N31" i="1"/>
  <c r="L32" i="1"/>
  <c r="M32" i="1"/>
  <c r="N32" i="1"/>
  <c r="L33" i="1"/>
  <c r="P33" i="1" s="1"/>
  <c r="M33" i="1"/>
  <c r="Q33" i="1" s="1"/>
  <c r="N33" i="1"/>
  <c r="L34" i="1"/>
  <c r="M34" i="1"/>
  <c r="N34" i="1"/>
  <c r="L35" i="1"/>
  <c r="M35" i="1"/>
  <c r="N35" i="1"/>
  <c r="L36" i="1"/>
  <c r="M36" i="1"/>
  <c r="N36" i="1"/>
  <c r="L37" i="1"/>
  <c r="P37" i="1" s="1"/>
  <c r="M37" i="1"/>
  <c r="Q37" i="1" s="1"/>
  <c r="N37" i="1"/>
  <c r="L38" i="1"/>
  <c r="M38" i="1"/>
  <c r="N38" i="1"/>
  <c r="R38" i="1" s="1"/>
  <c r="L39" i="1"/>
  <c r="M39" i="1"/>
  <c r="N39" i="1"/>
  <c r="L40" i="1"/>
  <c r="M40" i="1"/>
  <c r="N40" i="1"/>
  <c r="L41" i="1"/>
  <c r="P41" i="1" s="1"/>
  <c r="M41" i="1"/>
  <c r="Q41" i="1" s="1"/>
  <c r="N41" i="1"/>
  <c r="L42" i="1"/>
  <c r="M42" i="1"/>
  <c r="N42" i="1"/>
  <c r="R42" i="1" s="1"/>
  <c r="L43" i="1"/>
  <c r="M43" i="1"/>
  <c r="N43" i="1"/>
  <c r="L44" i="1"/>
  <c r="M44" i="1"/>
  <c r="N44" i="1"/>
  <c r="L45" i="1"/>
  <c r="P45" i="1" s="1"/>
  <c r="M45" i="1"/>
  <c r="Q45" i="1" s="1"/>
  <c r="N45" i="1"/>
  <c r="L46" i="1"/>
  <c r="M46" i="1"/>
  <c r="N46" i="1"/>
  <c r="R46" i="1" s="1"/>
  <c r="L47" i="1"/>
  <c r="M47" i="1"/>
  <c r="N47" i="1"/>
  <c r="L48" i="1"/>
  <c r="M48" i="1"/>
  <c r="N48" i="1"/>
  <c r="L49" i="1"/>
  <c r="P49" i="1" s="1"/>
  <c r="M49" i="1"/>
  <c r="Q49" i="1" s="1"/>
  <c r="N49" i="1"/>
  <c r="L50" i="1"/>
  <c r="M50" i="1"/>
  <c r="N50" i="1"/>
  <c r="R50" i="1" s="1"/>
  <c r="L51" i="1"/>
  <c r="M51" i="1"/>
  <c r="N51" i="1"/>
  <c r="L52" i="1"/>
  <c r="M52" i="1"/>
  <c r="N52" i="1"/>
  <c r="L53" i="1"/>
  <c r="P53" i="1" s="1"/>
  <c r="M53" i="1"/>
  <c r="Q53" i="1" s="1"/>
  <c r="N53" i="1"/>
  <c r="L54" i="1"/>
  <c r="M54" i="1"/>
  <c r="N54" i="1"/>
  <c r="R54" i="1" s="1"/>
  <c r="L55" i="1"/>
  <c r="M55" i="1"/>
  <c r="N55" i="1"/>
  <c r="L56" i="1"/>
  <c r="M56" i="1"/>
  <c r="N56" i="1"/>
  <c r="L57" i="1"/>
  <c r="P57" i="1" s="1"/>
  <c r="M57" i="1"/>
  <c r="Q57" i="1" s="1"/>
  <c r="N57" i="1"/>
  <c r="L58" i="1"/>
  <c r="M58" i="1"/>
  <c r="N58" i="1"/>
  <c r="R58" i="1" s="1"/>
  <c r="L59" i="1"/>
  <c r="M59" i="1"/>
  <c r="N59" i="1"/>
  <c r="L60" i="1"/>
  <c r="M60" i="1"/>
  <c r="N60" i="1"/>
  <c r="L61" i="1"/>
  <c r="M61" i="1"/>
  <c r="Q61" i="1" s="1"/>
  <c r="N61" i="1"/>
  <c r="L62" i="1"/>
  <c r="M62" i="1"/>
  <c r="N62" i="1"/>
  <c r="R62" i="1" s="1"/>
  <c r="L63" i="1"/>
  <c r="M63" i="1"/>
  <c r="N63" i="1"/>
  <c r="L64" i="1"/>
  <c r="M64" i="1"/>
  <c r="N64" i="1"/>
  <c r="L65" i="1"/>
  <c r="P65" i="1" s="1"/>
  <c r="M65" i="1"/>
  <c r="Q65" i="1" s="1"/>
  <c r="N65" i="1"/>
  <c r="L66" i="1"/>
  <c r="M66" i="1"/>
  <c r="N66" i="1"/>
  <c r="L67" i="1"/>
  <c r="M67" i="1"/>
  <c r="N67" i="1"/>
  <c r="L68" i="1"/>
  <c r="M68" i="1"/>
  <c r="N68" i="1"/>
  <c r="L69" i="1"/>
  <c r="P69" i="1" s="1"/>
  <c r="M69" i="1"/>
  <c r="Q69" i="1" s="1"/>
  <c r="N69" i="1"/>
  <c r="L70" i="1"/>
  <c r="M70" i="1"/>
  <c r="N70" i="1"/>
  <c r="L71" i="1"/>
  <c r="M71" i="1"/>
  <c r="N71" i="1"/>
  <c r="L72" i="1"/>
  <c r="M72" i="1"/>
  <c r="N72" i="1"/>
  <c r="L73" i="1"/>
  <c r="P73" i="1" s="1"/>
  <c r="M73" i="1"/>
  <c r="Q73" i="1" s="1"/>
  <c r="N73" i="1"/>
  <c r="L74" i="1"/>
  <c r="M74" i="1"/>
  <c r="N74" i="1"/>
  <c r="L75" i="1"/>
  <c r="M75" i="1"/>
  <c r="N75" i="1"/>
  <c r="L76" i="1"/>
  <c r="M76" i="1"/>
  <c r="N76" i="1"/>
  <c r="L77" i="1"/>
  <c r="P77" i="1" s="1"/>
  <c r="M77" i="1"/>
  <c r="Q77" i="1" s="1"/>
  <c r="N77" i="1"/>
  <c r="L78" i="1"/>
  <c r="M78" i="1"/>
  <c r="N78" i="1"/>
  <c r="L79" i="1"/>
  <c r="M79" i="1"/>
  <c r="N79" i="1"/>
  <c r="L80" i="1"/>
  <c r="M80" i="1"/>
  <c r="N80" i="1"/>
  <c r="L81" i="1"/>
  <c r="M81" i="1"/>
  <c r="Q81" i="1" s="1"/>
  <c r="N81" i="1"/>
  <c r="L82" i="1"/>
  <c r="M82" i="1"/>
  <c r="N82" i="1"/>
  <c r="L83" i="1"/>
  <c r="M83" i="1"/>
  <c r="N83" i="1"/>
  <c r="L84" i="1"/>
  <c r="M84" i="1"/>
  <c r="N84" i="1"/>
  <c r="L85" i="1"/>
  <c r="P85" i="1" s="1"/>
  <c r="M85" i="1"/>
  <c r="Q85" i="1" s="1"/>
  <c r="N85" i="1"/>
  <c r="L86" i="1"/>
  <c r="M86" i="1"/>
  <c r="N86" i="1"/>
  <c r="L87" i="1"/>
  <c r="M87" i="1"/>
  <c r="N87" i="1"/>
  <c r="L88" i="1"/>
  <c r="M88" i="1"/>
  <c r="N88" i="1"/>
  <c r="L89" i="1"/>
  <c r="P89" i="1" s="1"/>
  <c r="M89" i="1"/>
  <c r="Q89" i="1" s="1"/>
  <c r="N89" i="1"/>
  <c r="L90" i="1"/>
  <c r="M90" i="1"/>
  <c r="N90" i="1"/>
  <c r="L91" i="1"/>
  <c r="M91" i="1"/>
  <c r="N91" i="1"/>
  <c r="L92" i="1"/>
  <c r="M92" i="1"/>
  <c r="N92" i="1"/>
  <c r="L93" i="1"/>
  <c r="M93" i="1"/>
  <c r="Q93" i="1" s="1"/>
  <c r="N93" i="1"/>
  <c r="L94" i="1"/>
  <c r="M94" i="1"/>
  <c r="N94" i="1"/>
  <c r="L95" i="1"/>
  <c r="M95" i="1"/>
  <c r="N95" i="1"/>
  <c r="L96" i="1"/>
  <c r="M96" i="1"/>
  <c r="N96" i="1"/>
  <c r="L97" i="1"/>
  <c r="P97" i="1" s="1"/>
  <c r="M97" i="1"/>
  <c r="Q97" i="1" s="1"/>
  <c r="N97" i="1"/>
  <c r="L98" i="1"/>
  <c r="M98" i="1"/>
  <c r="N98" i="1"/>
  <c r="L99" i="1"/>
  <c r="M99" i="1"/>
  <c r="N99" i="1"/>
  <c r="L100" i="1"/>
  <c r="M100" i="1"/>
  <c r="N100" i="1"/>
  <c r="L101" i="1"/>
  <c r="P101" i="1" s="1"/>
  <c r="M101" i="1"/>
  <c r="Q101" i="1" s="1"/>
  <c r="N101" i="1"/>
  <c r="L102" i="1"/>
  <c r="M102" i="1"/>
  <c r="N102" i="1"/>
  <c r="L103" i="1"/>
  <c r="M103" i="1"/>
  <c r="N103" i="1"/>
  <c r="L104" i="1"/>
  <c r="M104" i="1"/>
  <c r="N104" i="1"/>
  <c r="L105" i="1"/>
  <c r="P105" i="1" s="1"/>
  <c r="M105" i="1"/>
  <c r="Q105" i="1" s="1"/>
  <c r="N105" i="1"/>
  <c r="L106" i="1"/>
  <c r="M106" i="1"/>
  <c r="N106" i="1"/>
  <c r="L107" i="1"/>
  <c r="M107" i="1"/>
  <c r="N107" i="1"/>
  <c r="L108" i="1"/>
  <c r="M108" i="1"/>
  <c r="N108" i="1"/>
  <c r="L109" i="1"/>
  <c r="M109" i="1"/>
  <c r="Q109" i="1" s="1"/>
  <c r="N109" i="1"/>
  <c r="L110" i="1"/>
  <c r="M110" i="1"/>
  <c r="N110" i="1"/>
  <c r="L111" i="1"/>
  <c r="M111" i="1"/>
  <c r="N111" i="1"/>
  <c r="L112" i="1"/>
  <c r="M112" i="1"/>
  <c r="N112" i="1"/>
  <c r="L113" i="1"/>
  <c r="M113" i="1"/>
  <c r="Q113" i="1" s="1"/>
  <c r="N113" i="1"/>
  <c r="L114" i="1"/>
  <c r="M114" i="1"/>
  <c r="N114" i="1"/>
  <c r="L115" i="1"/>
  <c r="M115" i="1"/>
  <c r="N115" i="1"/>
  <c r="L116" i="1"/>
  <c r="M116" i="1"/>
  <c r="N116" i="1"/>
  <c r="L117" i="1"/>
  <c r="M117" i="1"/>
  <c r="Q117" i="1" s="1"/>
  <c r="N117" i="1"/>
  <c r="L118" i="1"/>
  <c r="M118" i="1"/>
  <c r="N118" i="1"/>
  <c r="L119" i="1"/>
  <c r="M119" i="1"/>
  <c r="N119" i="1"/>
  <c r="L120" i="1"/>
  <c r="M120" i="1"/>
  <c r="N120" i="1"/>
  <c r="L121" i="1"/>
  <c r="M121" i="1"/>
  <c r="Q121" i="1" s="1"/>
  <c r="N121" i="1"/>
  <c r="L122" i="1"/>
  <c r="M122" i="1"/>
  <c r="N122" i="1"/>
  <c r="L123" i="1"/>
  <c r="M123" i="1"/>
  <c r="N123" i="1"/>
  <c r="L124" i="1"/>
  <c r="M124" i="1"/>
  <c r="N124" i="1"/>
  <c r="L125" i="1"/>
  <c r="M125" i="1"/>
  <c r="Q125" i="1" s="1"/>
  <c r="N125" i="1"/>
  <c r="L126" i="1"/>
  <c r="M126" i="1"/>
  <c r="N126" i="1"/>
  <c r="L127" i="1"/>
  <c r="M127" i="1"/>
  <c r="N127" i="1"/>
  <c r="L128" i="1"/>
  <c r="M128" i="1"/>
  <c r="N128" i="1"/>
  <c r="L129" i="1"/>
  <c r="M129" i="1"/>
  <c r="Q129" i="1" s="1"/>
  <c r="N129" i="1"/>
  <c r="L130" i="1"/>
  <c r="M130" i="1"/>
  <c r="N130" i="1"/>
  <c r="L131" i="1"/>
  <c r="M131" i="1"/>
  <c r="N131" i="1"/>
  <c r="L132" i="1"/>
  <c r="M132" i="1"/>
  <c r="N132" i="1"/>
  <c r="L133" i="1"/>
  <c r="M133" i="1"/>
  <c r="Q133" i="1" s="1"/>
  <c r="N133" i="1"/>
  <c r="L134" i="1"/>
  <c r="M134" i="1"/>
  <c r="N134" i="1"/>
  <c r="L135" i="1"/>
  <c r="M135" i="1"/>
  <c r="N135" i="1"/>
  <c r="L136" i="1"/>
  <c r="M136" i="1"/>
  <c r="N136" i="1"/>
  <c r="L137" i="1"/>
  <c r="M137" i="1"/>
  <c r="Q137" i="1" s="1"/>
  <c r="N137" i="1"/>
  <c r="L138" i="1"/>
  <c r="M138" i="1"/>
  <c r="N138" i="1"/>
  <c r="L139" i="1"/>
  <c r="M139" i="1"/>
  <c r="N139" i="1"/>
  <c r="L140" i="1"/>
  <c r="M140" i="1"/>
  <c r="N140" i="1"/>
  <c r="L141" i="1"/>
  <c r="M141" i="1"/>
  <c r="Q141" i="1" s="1"/>
  <c r="N141" i="1"/>
  <c r="L142" i="1"/>
  <c r="M142" i="1"/>
  <c r="N142" i="1"/>
  <c r="L143" i="1"/>
  <c r="M143" i="1"/>
  <c r="N143" i="1"/>
  <c r="L144" i="1"/>
  <c r="M144" i="1"/>
  <c r="N144" i="1"/>
  <c r="L145" i="1"/>
  <c r="M145" i="1"/>
  <c r="Q145" i="1" s="1"/>
  <c r="N145" i="1"/>
  <c r="L146" i="1"/>
  <c r="M146" i="1"/>
  <c r="N146" i="1"/>
  <c r="L147" i="1"/>
  <c r="M147" i="1"/>
  <c r="N147" i="1"/>
  <c r="L148" i="1"/>
  <c r="M148" i="1"/>
  <c r="N148" i="1"/>
  <c r="L149" i="1"/>
  <c r="M149" i="1"/>
  <c r="Q149" i="1" s="1"/>
  <c r="N149" i="1"/>
  <c r="L150" i="1"/>
  <c r="M150" i="1"/>
  <c r="N150" i="1"/>
  <c r="L151" i="1"/>
  <c r="M151" i="1"/>
  <c r="N151" i="1"/>
  <c r="L152" i="1"/>
  <c r="M152" i="1"/>
  <c r="N152" i="1"/>
  <c r="L153" i="1"/>
  <c r="M153" i="1"/>
  <c r="Q153" i="1" s="1"/>
  <c r="N153" i="1"/>
  <c r="L154" i="1"/>
  <c r="M154" i="1"/>
  <c r="N154" i="1"/>
  <c r="L155" i="1"/>
  <c r="M155" i="1"/>
  <c r="N155" i="1"/>
  <c r="L156" i="1"/>
  <c r="M156" i="1"/>
  <c r="N156" i="1"/>
  <c r="L157" i="1"/>
  <c r="M157" i="1"/>
  <c r="Q157" i="1" s="1"/>
  <c r="N157" i="1"/>
  <c r="L158" i="1"/>
  <c r="M158" i="1"/>
  <c r="N158" i="1"/>
  <c r="L159" i="1"/>
  <c r="M159" i="1"/>
  <c r="N159" i="1"/>
  <c r="L160" i="1"/>
  <c r="M160" i="1"/>
  <c r="N160" i="1"/>
  <c r="L161" i="1"/>
  <c r="M161" i="1"/>
  <c r="Q161" i="1" s="1"/>
  <c r="N161" i="1"/>
  <c r="L162" i="1"/>
  <c r="M162" i="1"/>
  <c r="N162" i="1"/>
  <c r="L163" i="1"/>
  <c r="M163" i="1"/>
  <c r="N163" i="1"/>
  <c r="L164" i="1"/>
  <c r="M164" i="1"/>
  <c r="N164" i="1"/>
  <c r="L165" i="1"/>
  <c r="M165" i="1"/>
  <c r="Q165" i="1" s="1"/>
  <c r="N165" i="1"/>
  <c r="L166" i="1"/>
  <c r="M166" i="1"/>
  <c r="N166" i="1"/>
  <c r="L167" i="1"/>
  <c r="M167" i="1"/>
  <c r="N167" i="1"/>
  <c r="L168" i="1"/>
  <c r="M168" i="1"/>
  <c r="N168" i="1"/>
  <c r="L169" i="1"/>
  <c r="M169" i="1"/>
  <c r="Q169" i="1" s="1"/>
  <c r="N169" i="1"/>
  <c r="L170" i="1"/>
  <c r="M170" i="1"/>
  <c r="N170" i="1"/>
  <c r="L171" i="1"/>
  <c r="M171" i="1"/>
  <c r="N171" i="1"/>
  <c r="L172" i="1"/>
  <c r="M172" i="1"/>
  <c r="N172" i="1"/>
  <c r="L173" i="1"/>
  <c r="M173" i="1"/>
  <c r="Q173" i="1" s="1"/>
  <c r="N173" i="1"/>
  <c r="L174" i="1"/>
  <c r="M174" i="1"/>
  <c r="N174" i="1"/>
  <c r="L175" i="1"/>
  <c r="M175" i="1"/>
  <c r="N175" i="1"/>
  <c r="L176" i="1"/>
  <c r="M176" i="1"/>
  <c r="N176" i="1"/>
  <c r="L177" i="1"/>
  <c r="M177" i="1"/>
  <c r="Q177" i="1" s="1"/>
  <c r="N177" i="1"/>
  <c r="L178" i="1"/>
  <c r="M178" i="1"/>
  <c r="N178" i="1"/>
  <c r="L179" i="1"/>
  <c r="M179" i="1"/>
  <c r="N179" i="1"/>
  <c r="L180" i="1"/>
  <c r="M180" i="1"/>
  <c r="N180" i="1"/>
  <c r="L181" i="1"/>
  <c r="M181" i="1"/>
  <c r="Q181" i="1" s="1"/>
  <c r="N181" i="1"/>
  <c r="L182" i="1"/>
  <c r="M182" i="1"/>
  <c r="N182" i="1"/>
  <c r="L183" i="1"/>
  <c r="M183" i="1"/>
  <c r="N183" i="1"/>
  <c r="L184" i="1"/>
  <c r="M184" i="1"/>
  <c r="N184" i="1"/>
  <c r="L185" i="1"/>
  <c r="M185" i="1"/>
  <c r="Q185" i="1" s="1"/>
  <c r="N185" i="1"/>
  <c r="L186" i="1"/>
  <c r="M186" i="1"/>
  <c r="N186" i="1"/>
  <c r="L187" i="1"/>
  <c r="M187" i="1"/>
  <c r="N187" i="1"/>
  <c r="L188" i="1"/>
  <c r="M188" i="1"/>
  <c r="N188" i="1"/>
  <c r="L189" i="1"/>
  <c r="M189" i="1"/>
  <c r="Q189" i="1" s="1"/>
  <c r="N189" i="1"/>
  <c r="L190" i="1"/>
  <c r="M190" i="1"/>
  <c r="N190" i="1"/>
  <c r="L191" i="1"/>
  <c r="M191" i="1"/>
  <c r="N191" i="1"/>
  <c r="L192" i="1"/>
  <c r="M192" i="1"/>
  <c r="N192" i="1"/>
  <c r="L193" i="1"/>
  <c r="M193" i="1"/>
  <c r="Q193" i="1" s="1"/>
  <c r="N193" i="1"/>
  <c r="L194" i="1"/>
  <c r="M194" i="1"/>
  <c r="N194" i="1"/>
  <c r="L195" i="1"/>
  <c r="M195" i="1"/>
  <c r="N195" i="1"/>
  <c r="L196" i="1"/>
  <c r="M196" i="1"/>
  <c r="N196" i="1"/>
  <c r="L197" i="1"/>
  <c r="M197" i="1"/>
  <c r="Q197" i="1" s="1"/>
  <c r="N197" i="1"/>
  <c r="L198" i="1"/>
  <c r="M198" i="1"/>
  <c r="N198" i="1"/>
  <c r="L199" i="1"/>
  <c r="M199" i="1"/>
  <c r="N199" i="1"/>
  <c r="L200" i="1"/>
  <c r="M200" i="1"/>
  <c r="N200" i="1"/>
  <c r="L201" i="1"/>
  <c r="M201" i="1"/>
  <c r="Q201" i="1" s="1"/>
  <c r="N201" i="1"/>
  <c r="L202" i="1"/>
  <c r="M202" i="1"/>
  <c r="N202" i="1"/>
  <c r="L203" i="1"/>
  <c r="M203" i="1"/>
  <c r="N203" i="1"/>
  <c r="L204" i="1"/>
  <c r="M204" i="1"/>
  <c r="N204" i="1"/>
  <c r="L205" i="1"/>
  <c r="M205" i="1"/>
  <c r="Q205" i="1" s="1"/>
  <c r="N205" i="1"/>
  <c r="L206" i="1"/>
  <c r="M206" i="1"/>
  <c r="N206" i="1"/>
  <c r="L207" i="1"/>
  <c r="M207" i="1"/>
  <c r="N207" i="1"/>
  <c r="L208" i="1"/>
  <c r="M208" i="1"/>
  <c r="N208" i="1"/>
  <c r="L209" i="1"/>
  <c r="M209" i="1"/>
  <c r="Q209" i="1" s="1"/>
  <c r="N209" i="1"/>
  <c r="L210" i="1"/>
  <c r="M210" i="1"/>
  <c r="N210" i="1"/>
  <c r="L211" i="1"/>
  <c r="M211" i="1"/>
  <c r="N211" i="1"/>
  <c r="L212" i="1"/>
  <c r="M212" i="1"/>
  <c r="N212" i="1"/>
  <c r="L213" i="1"/>
  <c r="M213" i="1"/>
  <c r="Q213" i="1" s="1"/>
  <c r="N213" i="1"/>
  <c r="L214" i="1"/>
  <c r="M214" i="1"/>
  <c r="N214" i="1"/>
  <c r="L215" i="1"/>
  <c r="M215" i="1"/>
  <c r="N215" i="1"/>
  <c r="L216" i="1"/>
  <c r="M216" i="1"/>
  <c r="N216" i="1"/>
  <c r="L217" i="1"/>
  <c r="M217" i="1"/>
  <c r="Q217" i="1" s="1"/>
  <c r="N217" i="1"/>
  <c r="L218" i="1"/>
  <c r="M218" i="1"/>
  <c r="N218" i="1"/>
  <c r="L219" i="1"/>
  <c r="M219" i="1"/>
  <c r="N219" i="1"/>
  <c r="L220" i="1"/>
  <c r="M220" i="1"/>
  <c r="N220" i="1"/>
  <c r="L221" i="1"/>
  <c r="M221" i="1"/>
  <c r="Q221" i="1" s="1"/>
  <c r="N221" i="1"/>
  <c r="L222" i="1"/>
  <c r="M222" i="1"/>
  <c r="N222" i="1"/>
  <c r="L223" i="1"/>
  <c r="M223" i="1"/>
  <c r="N223" i="1"/>
  <c r="L224" i="1"/>
  <c r="M224" i="1"/>
  <c r="N224" i="1"/>
  <c r="L225" i="1"/>
  <c r="M225" i="1"/>
  <c r="Q225" i="1" s="1"/>
  <c r="N225" i="1"/>
  <c r="L226" i="1"/>
  <c r="M226" i="1"/>
  <c r="N226" i="1"/>
  <c r="L227" i="1"/>
  <c r="M227" i="1"/>
  <c r="N227" i="1"/>
  <c r="L228" i="1"/>
  <c r="M228" i="1"/>
  <c r="N228" i="1"/>
  <c r="L229" i="1"/>
  <c r="M229" i="1"/>
  <c r="Q229" i="1" s="1"/>
  <c r="N229" i="1"/>
  <c r="L230" i="1"/>
  <c r="M230" i="1"/>
  <c r="N230" i="1"/>
  <c r="L231" i="1"/>
  <c r="M231" i="1"/>
  <c r="N231" i="1"/>
  <c r="L232" i="1"/>
  <c r="M232" i="1"/>
  <c r="N232" i="1"/>
  <c r="L233" i="1"/>
  <c r="M233" i="1"/>
  <c r="Q233" i="1" s="1"/>
  <c r="N233" i="1"/>
  <c r="L234" i="1"/>
  <c r="M234" i="1"/>
  <c r="N234" i="1"/>
  <c r="L235" i="1"/>
  <c r="M235" i="1"/>
  <c r="N235" i="1"/>
  <c r="L236" i="1"/>
  <c r="M236" i="1"/>
  <c r="N236" i="1"/>
  <c r="L237" i="1"/>
  <c r="M237" i="1"/>
  <c r="Q237" i="1" s="1"/>
  <c r="N237" i="1"/>
  <c r="L238" i="1"/>
  <c r="M238" i="1"/>
  <c r="N238" i="1"/>
  <c r="L239" i="1"/>
  <c r="M239" i="1"/>
  <c r="N239" i="1"/>
  <c r="L240" i="1"/>
  <c r="M240" i="1"/>
  <c r="N240" i="1"/>
  <c r="L241" i="1"/>
  <c r="M241" i="1"/>
  <c r="Q241" i="1" s="1"/>
  <c r="N241" i="1"/>
  <c r="L242" i="1"/>
  <c r="M242" i="1"/>
  <c r="N242" i="1"/>
  <c r="L243" i="1"/>
  <c r="M243" i="1"/>
  <c r="N243" i="1"/>
  <c r="L244" i="1"/>
  <c r="M244" i="1"/>
  <c r="N244" i="1"/>
  <c r="L245" i="1"/>
  <c r="M245" i="1"/>
  <c r="Q245" i="1" s="1"/>
  <c r="N245" i="1"/>
  <c r="L246" i="1"/>
  <c r="M246" i="1"/>
  <c r="N246" i="1"/>
  <c r="L247" i="1"/>
  <c r="M247" i="1"/>
  <c r="N247" i="1"/>
  <c r="L248" i="1"/>
  <c r="M248" i="1"/>
  <c r="N248" i="1"/>
  <c r="L249" i="1"/>
  <c r="M249" i="1"/>
  <c r="Q249" i="1" s="1"/>
  <c r="N249" i="1"/>
  <c r="L250" i="1"/>
  <c r="M250" i="1"/>
  <c r="N250" i="1"/>
  <c r="L251" i="1"/>
  <c r="M251" i="1"/>
  <c r="N251" i="1"/>
  <c r="L252" i="1"/>
  <c r="M252" i="1"/>
  <c r="N252" i="1"/>
  <c r="L253" i="1"/>
  <c r="M253" i="1"/>
  <c r="Q253" i="1" s="1"/>
  <c r="N253" i="1"/>
  <c r="L254" i="1"/>
  <c r="M254" i="1"/>
  <c r="N254" i="1"/>
  <c r="L255" i="1"/>
  <c r="M255" i="1"/>
  <c r="N255" i="1"/>
  <c r="L256" i="1"/>
  <c r="M256" i="1"/>
  <c r="N256" i="1"/>
  <c r="L257" i="1"/>
  <c r="M257" i="1"/>
  <c r="Q257" i="1" s="1"/>
  <c r="N257" i="1"/>
  <c r="L258" i="1"/>
  <c r="M258" i="1"/>
  <c r="N258" i="1"/>
  <c r="L259" i="1"/>
  <c r="M259" i="1"/>
  <c r="N259" i="1"/>
  <c r="L260" i="1"/>
  <c r="M260" i="1"/>
  <c r="N260" i="1"/>
  <c r="L261" i="1"/>
  <c r="M261" i="1"/>
  <c r="Q261" i="1" s="1"/>
  <c r="N261" i="1"/>
  <c r="L262" i="1"/>
  <c r="M262" i="1"/>
  <c r="N262" i="1"/>
  <c r="L263" i="1"/>
  <c r="M263" i="1"/>
  <c r="N263" i="1"/>
  <c r="L264" i="1"/>
  <c r="M264" i="1"/>
  <c r="N264" i="1"/>
  <c r="L265" i="1"/>
  <c r="M265" i="1"/>
  <c r="Q265" i="1" s="1"/>
  <c r="N265" i="1"/>
  <c r="L266" i="1"/>
  <c r="M266" i="1"/>
  <c r="N266" i="1"/>
  <c r="L267" i="1"/>
  <c r="M267" i="1"/>
  <c r="N267" i="1"/>
  <c r="L268" i="1"/>
  <c r="M268" i="1"/>
  <c r="N268" i="1"/>
  <c r="L269" i="1"/>
  <c r="M269" i="1"/>
  <c r="Q269" i="1" s="1"/>
  <c r="N269" i="1"/>
  <c r="L270" i="1"/>
  <c r="M270" i="1"/>
  <c r="N270" i="1"/>
  <c r="L271" i="1"/>
  <c r="M271" i="1"/>
  <c r="N271" i="1"/>
  <c r="L272" i="1"/>
  <c r="M272" i="1"/>
  <c r="N272" i="1"/>
  <c r="L273" i="1"/>
  <c r="M273" i="1"/>
  <c r="Q273" i="1" s="1"/>
  <c r="N273" i="1"/>
  <c r="L274" i="1"/>
  <c r="M274" i="1"/>
  <c r="N274" i="1"/>
  <c r="L275" i="1"/>
  <c r="M275" i="1"/>
  <c r="N275" i="1"/>
  <c r="L276" i="1"/>
  <c r="M276" i="1"/>
  <c r="N276" i="1"/>
  <c r="L277" i="1"/>
  <c r="M277" i="1"/>
  <c r="Q277" i="1" s="1"/>
  <c r="N277" i="1"/>
  <c r="L278" i="1"/>
  <c r="M278" i="1"/>
  <c r="N278" i="1"/>
  <c r="L279" i="1"/>
  <c r="M279" i="1"/>
  <c r="N279" i="1"/>
  <c r="L280" i="1"/>
  <c r="M280" i="1"/>
  <c r="N280" i="1"/>
  <c r="L281" i="1"/>
  <c r="M281" i="1"/>
  <c r="Q281" i="1" s="1"/>
  <c r="N281" i="1"/>
  <c r="L282" i="1"/>
  <c r="M282" i="1"/>
  <c r="N282" i="1"/>
  <c r="L283" i="1"/>
  <c r="M283" i="1"/>
  <c r="N283" i="1"/>
  <c r="L284" i="1"/>
  <c r="M284" i="1"/>
  <c r="N284" i="1"/>
  <c r="L285" i="1"/>
  <c r="M285" i="1"/>
  <c r="Q285" i="1" s="1"/>
  <c r="N285" i="1"/>
  <c r="L286" i="1"/>
  <c r="M286" i="1"/>
  <c r="N286" i="1"/>
  <c r="L287" i="1"/>
  <c r="M287" i="1"/>
  <c r="N287" i="1"/>
  <c r="L288" i="1"/>
  <c r="M288" i="1"/>
  <c r="N288" i="1"/>
  <c r="L289" i="1"/>
  <c r="M289" i="1"/>
  <c r="Q289" i="1" s="1"/>
  <c r="N289" i="1"/>
  <c r="L290" i="1"/>
  <c r="M290" i="1"/>
  <c r="N290" i="1"/>
  <c r="L291" i="1"/>
  <c r="M291" i="1"/>
  <c r="N291" i="1"/>
  <c r="L292" i="1"/>
  <c r="M292" i="1"/>
  <c r="N292" i="1"/>
  <c r="L293" i="1"/>
  <c r="M293" i="1"/>
  <c r="Q293" i="1" s="1"/>
  <c r="N293" i="1"/>
  <c r="L294" i="1"/>
  <c r="M294" i="1"/>
  <c r="N294" i="1"/>
  <c r="L295" i="1"/>
  <c r="M295" i="1"/>
  <c r="N295" i="1"/>
  <c r="L296" i="1"/>
  <c r="M296" i="1"/>
  <c r="N296" i="1"/>
  <c r="L297" i="1"/>
  <c r="M297" i="1"/>
  <c r="Q297" i="1" s="1"/>
  <c r="N297" i="1"/>
  <c r="L298" i="1"/>
  <c r="M298" i="1"/>
  <c r="N298" i="1"/>
  <c r="L299" i="1"/>
  <c r="M299" i="1"/>
  <c r="N299" i="1"/>
  <c r="L300" i="1"/>
  <c r="M300" i="1"/>
  <c r="N300" i="1"/>
  <c r="L301" i="1"/>
  <c r="M301" i="1"/>
  <c r="Q301" i="1" s="1"/>
  <c r="N301" i="1"/>
  <c r="L302" i="1"/>
  <c r="M302" i="1"/>
  <c r="N302" i="1"/>
  <c r="L303" i="1"/>
  <c r="M303" i="1"/>
  <c r="N303" i="1"/>
  <c r="L304" i="1"/>
  <c r="M304" i="1"/>
  <c r="N304" i="1"/>
  <c r="L305" i="1"/>
  <c r="M305" i="1"/>
  <c r="Q305" i="1" s="1"/>
  <c r="N305" i="1"/>
  <c r="L306" i="1"/>
  <c r="M306" i="1"/>
  <c r="N306" i="1"/>
  <c r="L307" i="1"/>
  <c r="M307" i="1"/>
  <c r="N307" i="1"/>
  <c r="L308" i="1"/>
  <c r="M308" i="1"/>
  <c r="N308" i="1"/>
  <c r="L309" i="1"/>
  <c r="M309" i="1"/>
  <c r="Q309" i="1" s="1"/>
  <c r="N309" i="1"/>
  <c r="L310" i="1"/>
  <c r="M310" i="1"/>
  <c r="N310" i="1"/>
  <c r="L311" i="1"/>
  <c r="M311" i="1"/>
  <c r="N311" i="1"/>
  <c r="L312" i="1"/>
  <c r="M312" i="1"/>
  <c r="N312" i="1"/>
  <c r="L313" i="1"/>
  <c r="M313" i="1"/>
  <c r="Q313" i="1" s="1"/>
  <c r="N313" i="1"/>
  <c r="L314" i="1"/>
  <c r="M314" i="1"/>
  <c r="N314" i="1"/>
  <c r="L315" i="1"/>
  <c r="M315" i="1"/>
  <c r="N315" i="1"/>
  <c r="L316" i="1"/>
  <c r="M316" i="1"/>
  <c r="N316" i="1"/>
  <c r="L317" i="1"/>
  <c r="M317" i="1"/>
  <c r="Q317" i="1" s="1"/>
  <c r="N317" i="1"/>
  <c r="L318" i="1"/>
  <c r="M318" i="1"/>
  <c r="N318" i="1"/>
  <c r="L319" i="1"/>
  <c r="M319" i="1"/>
  <c r="N319" i="1"/>
  <c r="L320" i="1"/>
  <c r="M320" i="1"/>
  <c r="N320" i="1"/>
  <c r="L321" i="1"/>
  <c r="M321" i="1"/>
  <c r="Q321" i="1" s="1"/>
  <c r="N321" i="1"/>
  <c r="L322" i="1"/>
  <c r="M322" i="1"/>
  <c r="N322" i="1"/>
  <c r="L323" i="1"/>
  <c r="M323" i="1"/>
  <c r="N323" i="1"/>
  <c r="L324" i="1"/>
  <c r="M324" i="1"/>
  <c r="N324" i="1"/>
  <c r="L325" i="1"/>
  <c r="M325" i="1"/>
  <c r="Q325" i="1" s="1"/>
  <c r="N325" i="1"/>
  <c r="L326" i="1"/>
  <c r="M326" i="1"/>
  <c r="N326" i="1"/>
  <c r="L327" i="1"/>
  <c r="M327" i="1"/>
  <c r="N327" i="1"/>
  <c r="L328" i="1"/>
  <c r="M328" i="1"/>
  <c r="N328" i="1"/>
  <c r="L329" i="1"/>
  <c r="M329" i="1"/>
  <c r="Q329" i="1" s="1"/>
  <c r="N329" i="1"/>
  <c r="L330" i="1"/>
  <c r="M330" i="1"/>
  <c r="N330" i="1"/>
  <c r="L331" i="1"/>
  <c r="M331" i="1"/>
  <c r="N331" i="1"/>
  <c r="L332" i="1"/>
  <c r="M332" i="1"/>
  <c r="N332" i="1"/>
  <c r="L333" i="1"/>
  <c r="M333" i="1"/>
  <c r="Q333" i="1" s="1"/>
  <c r="N333" i="1"/>
  <c r="L334" i="1"/>
  <c r="M334" i="1"/>
  <c r="N334" i="1"/>
  <c r="L335" i="1"/>
  <c r="M335" i="1"/>
  <c r="N335" i="1"/>
  <c r="L336" i="1"/>
  <c r="M336" i="1"/>
  <c r="N336" i="1"/>
  <c r="L337" i="1"/>
  <c r="M337" i="1"/>
  <c r="Q337" i="1" s="1"/>
  <c r="N337" i="1"/>
  <c r="L338" i="1"/>
  <c r="M338" i="1"/>
  <c r="N338" i="1"/>
  <c r="L339" i="1"/>
  <c r="M339" i="1"/>
  <c r="N339" i="1"/>
  <c r="L340" i="1"/>
  <c r="M340" i="1"/>
  <c r="N340" i="1"/>
  <c r="L341" i="1"/>
  <c r="M341" i="1"/>
  <c r="Q341" i="1" s="1"/>
  <c r="N341" i="1"/>
  <c r="L342" i="1"/>
  <c r="M342" i="1"/>
  <c r="N342" i="1"/>
  <c r="L343" i="1"/>
  <c r="M343" i="1"/>
  <c r="N343" i="1"/>
  <c r="L344" i="1"/>
  <c r="M344" i="1"/>
  <c r="N344" i="1"/>
  <c r="L345" i="1"/>
  <c r="M345" i="1"/>
  <c r="Q345" i="1" s="1"/>
  <c r="N345" i="1"/>
  <c r="L346" i="1"/>
  <c r="M346" i="1"/>
  <c r="N346" i="1"/>
  <c r="L347" i="1"/>
  <c r="M347" i="1"/>
  <c r="N347" i="1"/>
  <c r="L348" i="1"/>
  <c r="M348" i="1"/>
  <c r="N348" i="1"/>
  <c r="L349" i="1"/>
  <c r="M349" i="1"/>
  <c r="Q349" i="1" s="1"/>
  <c r="N349" i="1"/>
  <c r="L350" i="1"/>
  <c r="M350" i="1"/>
  <c r="N350" i="1"/>
  <c r="L351" i="1"/>
  <c r="M351" i="1"/>
  <c r="N351" i="1"/>
  <c r="L352" i="1"/>
  <c r="M352" i="1"/>
  <c r="N352" i="1"/>
  <c r="L353" i="1"/>
  <c r="M353" i="1"/>
  <c r="Q353" i="1" s="1"/>
  <c r="N353" i="1"/>
  <c r="L354" i="1"/>
  <c r="M354" i="1"/>
  <c r="N354" i="1"/>
  <c r="L355" i="1"/>
  <c r="M355" i="1"/>
  <c r="N355" i="1"/>
  <c r="L356" i="1"/>
  <c r="M356" i="1"/>
  <c r="N356" i="1"/>
  <c r="L357" i="1"/>
  <c r="M357" i="1"/>
  <c r="Q357" i="1" s="1"/>
  <c r="N357" i="1"/>
  <c r="L358" i="1"/>
  <c r="M358" i="1"/>
  <c r="N358" i="1"/>
  <c r="L359" i="1"/>
  <c r="M359" i="1"/>
  <c r="N359" i="1"/>
  <c r="L360" i="1"/>
  <c r="M360" i="1"/>
  <c r="N360" i="1"/>
  <c r="L361" i="1"/>
  <c r="M361" i="1"/>
  <c r="Q361" i="1" s="1"/>
  <c r="N361" i="1"/>
  <c r="L362" i="1"/>
  <c r="M362" i="1"/>
  <c r="N362" i="1"/>
  <c r="L363" i="1"/>
  <c r="M363" i="1"/>
  <c r="N363" i="1"/>
  <c r="L364" i="1"/>
  <c r="M364" i="1"/>
  <c r="N364" i="1"/>
  <c r="L365" i="1"/>
  <c r="M365" i="1"/>
  <c r="Q365" i="1" s="1"/>
  <c r="N365" i="1"/>
  <c r="L366" i="1"/>
  <c r="M366" i="1"/>
  <c r="N366" i="1"/>
  <c r="L367" i="1"/>
  <c r="M367" i="1"/>
  <c r="N367" i="1"/>
  <c r="L368" i="1"/>
  <c r="M368" i="1"/>
  <c r="N368" i="1"/>
  <c r="L369" i="1"/>
  <c r="M369" i="1"/>
  <c r="Q369" i="1" s="1"/>
  <c r="N369" i="1"/>
  <c r="L370" i="1"/>
  <c r="M370" i="1"/>
  <c r="N370" i="1"/>
  <c r="L371" i="1"/>
  <c r="M371" i="1"/>
  <c r="N371" i="1"/>
  <c r="L372" i="1"/>
  <c r="M372" i="1"/>
  <c r="N372" i="1"/>
  <c r="L373" i="1"/>
  <c r="M373" i="1"/>
  <c r="Q373" i="1" s="1"/>
  <c r="N373" i="1"/>
  <c r="L374" i="1"/>
  <c r="M374" i="1"/>
  <c r="N374" i="1"/>
  <c r="L375" i="1"/>
  <c r="M375" i="1"/>
  <c r="N375" i="1"/>
  <c r="L376" i="1"/>
  <c r="M376" i="1"/>
  <c r="N376" i="1"/>
  <c r="L377" i="1"/>
  <c r="M377" i="1"/>
  <c r="Q377" i="1" s="1"/>
  <c r="N377" i="1"/>
  <c r="L378" i="1"/>
  <c r="M378" i="1"/>
  <c r="N378" i="1"/>
  <c r="L379" i="1"/>
  <c r="M379" i="1"/>
  <c r="N379" i="1"/>
  <c r="L380" i="1"/>
  <c r="M380" i="1"/>
  <c r="N380" i="1"/>
  <c r="L381" i="1"/>
  <c r="M381" i="1"/>
  <c r="Q381" i="1" s="1"/>
  <c r="N381" i="1"/>
  <c r="L382" i="1"/>
  <c r="M382" i="1"/>
  <c r="N382" i="1"/>
  <c r="L383" i="1"/>
  <c r="M383" i="1"/>
  <c r="N383" i="1"/>
  <c r="L384" i="1"/>
  <c r="M384" i="1"/>
  <c r="N384" i="1"/>
  <c r="L385" i="1"/>
  <c r="M385" i="1"/>
  <c r="Q385" i="1" s="1"/>
  <c r="N385" i="1"/>
  <c r="L386" i="1"/>
  <c r="M386" i="1"/>
  <c r="N386" i="1"/>
  <c r="L387" i="1"/>
  <c r="M387" i="1"/>
  <c r="N387" i="1"/>
  <c r="L388" i="1"/>
  <c r="M388" i="1"/>
  <c r="N388" i="1"/>
  <c r="L389" i="1"/>
  <c r="M389" i="1"/>
  <c r="Q389" i="1" s="1"/>
  <c r="N389" i="1"/>
  <c r="L390" i="1"/>
  <c r="M390" i="1"/>
  <c r="N390" i="1"/>
  <c r="L391" i="1"/>
  <c r="M391" i="1"/>
  <c r="N391" i="1"/>
  <c r="L392" i="1"/>
  <c r="M392" i="1"/>
  <c r="N392" i="1"/>
  <c r="L393" i="1"/>
  <c r="M393" i="1"/>
  <c r="Q393" i="1" s="1"/>
  <c r="N393" i="1"/>
  <c r="L394" i="1"/>
  <c r="M394" i="1"/>
  <c r="N394" i="1"/>
  <c r="L395" i="1"/>
  <c r="M395" i="1"/>
  <c r="N395" i="1"/>
  <c r="L396" i="1"/>
  <c r="M396" i="1"/>
  <c r="N396" i="1"/>
  <c r="L397" i="1"/>
  <c r="M397" i="1"/>
  <c r="Q397" i="1" s="1"/>
  <c r="N397" i="1"/>
  <c r="L398" i="1"/>
  <c r="M398" i="1"/>
  <c r="N398" i="1"/>
  <c r="L399" i="1"/>
  <c r="M399" i="1"/>
  <c r="N399" i="1"/>
  <c r="L400" i="1"/>
  <c r="M400" i="1"/>
  <c r="N400" i="1"/>
  <c r="L401" i="1"/>
  <c r="M401" i="1"/>
  <c r="Q401" i="1" s="1"/>
  <c r="N401" i="1"/>
  <c r="L402" i="1"/>
  <c r="M402" i="1"/>
  <c r="N402" i="1"/>
  <c r="L403" i="1"/>
  <c r="M403" i="1"/>
  <c r="N403" i="1"/>
  <c r="L404" i="1"/>
  <c r="M404" i="1"/>
  <c r="N404" i="1"/>
  <c r="L405" i="1"/>
  <c r="M405" i="1"/>
  <c r="Q405" i="1" s="1"/>
  <c r="N405" i="1"/>
  <c r="L406" i="1"/>
  <c r="M406" i="1"/>
  <c r="N406" i="1"/>
  <c r="L407" i="1"/>
  <c r="M407" i="1"/>
  <c r="N407" i="1"/>
  <c r="L408" i="1"/>
  <c r="M408" i="1"/>
  <c r="N408" i="1"/>
  <c r="L409" i="1"/>
  <c r="M409" i="1"/>
  <c r="Q409" i="1" s="1"/>
  <c r="N409" i="1"/>
  <c r="L410" i="1"/>
  <c r="M410" i="1"/>
  <c r="N410" i="1"/>
  <c r="L411" i="1"/>
  <c r="M411" i="1"/>
  <c r="N411" i="1"/>
  <c r="L412" i="1"/>
  <c r="M412" i="1"/>
  <c r="N412" i="1"/>
  <c r="L413" i="1"/>
  <c r="M413" i="1"/>
  <c r="Q413" i="1" s="1"/>
  <c r="N413" i="1"/>
  <c r="L414" i="1"/>
  <c r="M414" i="1"/>
  <c r="N414" i="1"/>
  <c r="L415" i="1"/>
  <c r="M415" i="1"/>
  <c r="N415" i="1"/>
  <c r="L416" i="1"/>
  <c r="M416" i="1"/>
  <c r="N416" i="1"/>
  <c r="L417" i="1"/>
  <c r="M417" i="1"/>
  <c r="Q417" i="1" s="1"/>
  <c r="N417" i="1"/>
  <c r="L418" i="1"/>
  <c r="M418" i="1"/>
  <c r="N418" i="1"/>
  <c r="L419" i="1"/>
  <c r="M419" i="1"/>
  <c r="N419" i="1"/>
  <c r="L420" i="1"/>
  <c r="M420" i="1"/>
  <c r="N420" i="1"/>
  <c r="L421" i="1"/>
  <c r="M421" i="1"/>
  <c r="Q421" i="1" s="1"/>
  <c r="N421" i="1"/>
  <c r="L422" i="1"/>
  <c r="M422" i="1"/>
  <c r="N422" i="1"/>
  <c r="L423" i="1"/>
  <c r="M423" i="1"/>
  <c r="N423" i="1"/>
  <c r="L424" i="1"/>
  <c r="M424" i="1"/>
  <c r="N424" i="1"/>
  <c r="L425" i="1"/>
  <c r="M425" i="1"/>
  <c r="Q425" i="1" s="1"/>
  <c r="N425" i="1"/>
  <c r="L426" i="1"/>
  <c r="M426" i="1"/>
  <c r="N426" i="1"/>
  <c r="L427" i="1"/>
  <c r="M427" i="1"/>
  <c r="N427" i="1"/>
  <c r="L428" i="1"/>
  <c r="M428" i="1"/>
  <c r="N428" i="1"/>
  <c r="L429" i="1"/>
  <c r="M429" i="1"/>
  <c r="Q429" i="1" s="1"/>
  <c r="N429" i="1"/>
  <c r="L430" i="1"/>
  <c r="M430" i="1"/>
  <c r="N430" i="1"/>
  <c r="L431" i="1"/>
  <c r="M431" i="1"/>
  <c r="N431" i="1"/>
  <c r="L432" i="1"/>
  <c r="M432" i="1"/>
  <c r="N432" i="1"/>
  <c r="L433" i="1"/>
  <c r="M433" i="1"/>
  <c r="Q433" i="1" s="1"/>
  <c r="N433" i="1"/>
  <c r="L434" i="1"/>
  <c r="M434" i="1"/>
  <c r="N434" i="1"/>
  <c r="L435" i="1"/>
  <c r="M435" i="1"/>
  <c r="N435" i="1"/>
  <c r="L436" i="1"/>
  <c r="M436" i="1"/>
  <c r="N436" i="1"/>
  <c r="L437" i="1"/>
  <c r="M437" i="1"/>
  <c r="Q437" i="1" s="1"/>
  <c r="N437" i="1"/>
  <c r="L438" i="1"/>
  <c r="M438" i="1"/>
  <c r="N438" i="1"/>
  <c r="L439" i="1"/>
  <c r="M439" i="1"/>
  <c r="N439" i="1"/>
  <c r="L440" i="1"/>
  <c r="M440" i="1"/>
  <c r="N440" i="1"/>
  <c r="L441" i="1"/>
  <c r="M441" i="1"/>
  <c r="Q441" i="1" s="1"/>
  <c r="N441" i="1"/>
  <c r="L442" i="1"/>
  <c r="M442" i="1"/>
  <c r="N442" i="1"/>
  <c r="L443" i="1"/>
  <c r="M443" i="1"/>
  <c r="N443" i="1"/>
  <c r="L444" i="1"/>
  <c r="M444" i="1"/>
  <c r="N444" i="1"/>
  <c r="L445" i="1"/>
  <c r="M445" i="1"/>
  <c r="Q445" i="1" s="1"/>
  <c r="N445" i="1"/>
  <c r="L446" i="1"/>
  <c r="M446" i="1"/>
  <c r="N446" i="1"/>
  <c r="L447" i="1"/>
  <c r="M447" i="1"/>
  <c r="N447" i="1"/>
  <c r="L448" i="1"/>
  <c r="M448" i="1"/>
  <c r="N448" i="1"/>
  <c r="L449" i="1"/>
  <c r="M449" i="1"/>
  <c r="Q449" i="1" s="1"/>
  <c r="N449" i="1"/>
  <c r="L450" i="1"/>
  <c r="M450" i="1"/>
  <c r="N450" i="1"/>
  <c r="L451" i="1"/>
  <c r="M451" i="1"/>
  <c r="N451" i="1"/>
  <c r="L452" i="1"/>
  <c r="M452" i="1"/>
  <c r="N452" i="1"/>
  <c r="L453" i="1"/>
  <c r="M453" i="1"/>
  <c r="Q453" i="1" s="1"/>
  <c r="N453" i="1"/>
  <c r="L454" i="1"/>
  <c r="M454" i="1"/>
  <c r="N454" i="1"/>
  <c r="L455" i="1"/>
  <c r="M455" i="1"/>
  <c r="N455" i="1"/>
  <c r="L456" i="1"/>
  <c r="M456" i="1"/>
  <c r="N456" i="1"/>
  <c r="L457" i="1"/>
  <c r="M457" i="1"/>
  <c r="Q457" i="1" s="1"/>
  <c r="N457" i="1"/>
  <c r="L458" i="1"/>
  <c r="M458" i="1"/>
  <c r="N458" i="1"/>
  <c r="L459" i="1"/>
  <c r="M459" i="1"/>
  <c r="N459" i="1"/>
  <c r="L460" i="1"/>
  <c r="M460" i="1"/>
  <c r="N460" i="1"/>
  <c r="L461" i="1"/>
  <c r="M461" i="1"/>
  <c r="Q461" i="1" s="1"/>
  <c r="N461" i="1"/>
  <c r="L462" i="1"/>
  <c r="M462" i="1"/>
  <c r="N462" i="1"/>
  <c r="L463" i="1"/>
  <c r="M463" i="1"/>
  <c r="N463" i="1"/>
  <c r="L464" i="1"/>
  <c r="M464" i="1"/>
  <c r="N464" i="1"/>
  <c r="L465" i="1"/>
  <c r="M465" i="1"/>
  <c r="Q465" i="1" s="1"/>
  <c r="N465" i="1"/>
  <c r="L466" i="1"/>
  <c r="M466" i="1"/>
  <c r="N466" i="1"/>
  <c r="L467" i="1"/>
  <c r="M467" i="1"/>
  <c r="N467" i="1"/>
  <c r="L468" i="1"/>
  <c r="M468" i="1"/>
  <c r="N468" i="1"/>
  <c r="L469" i="1"/>
  <c r="M469" i="1"/>
  <c r="Q469" i="1" s="1"/>
  <c r="N469" i="1"/>
  <c r="L470" i="1"/>
  <c r="M470" i="1"/>
  <c r="N470" i="1"/>
  <c r="L471" i="1"/>
  <c r="M471" i="1"/>
  <c r="N471" i="1"/>
  <c r="L472" i="1"/>
  <c r="M472" i="1"/>
  <c r="N472" i="1"/>
  <c r="L473" i="1"/>
  <c r="M473" i="1"/>
  <c r="Q473" i="1" s="1"/>
  <c r="N473" i="1"/>
  <c r="L474" i="1"/>
  <c r="M474" i="1"/>
  <c r="N474" i="1"/>
  <c r="L475" i="1"/>
  <c r="M475" i="1"/>
  <c r="N475" i="1"/>
  <c r="L476" i="1"/>
  <c r="M476" i="1"/>
  <c r="N476" i="1"/>
  <c r="L477" i="1"/>
  <c r="M477" i="1"/>
  <c r="Q477" i="1" s="1"/>
  <c r="N477" i="1"/>
  <c r="L478" i="1"/>
  <c r="M478" i="1"/>
  <c r="N478" i="1"/>
  <c r="L479" i="1"/>
  <c r="M479" i="1"/>
  <c r="N479" i="1"/>
  <c r="L480" i="1"/>
  <c r="M480" i="1"/>
  <c r="N480" i="1"/>
  <c r="L481" i="1"/>
  <c r="M481" i="1"/>
  <c r="Q481" i="1" s="1"/>
  <c r="N481" i="1"/>
  <c r="L482" i="1"/>
  <c r="M482" i="1"/>
  <c r="N482" i="1"/>
  <c r="L483" i="1"/>
  <c r="M483" i="1"/>
  <c r="N483" i="1"/>
  <c r="L484" i="1"/>
  <c r="M484" i="1"/>
  <c r="N484" i="1"/>
  <c r="L485" i="1"/>
  <c r="M485" i="1"/>
  <c r="Q485" i="1" s="1"/>
  <c r="N485" i="1"/>
  <c r="L486" i="1"/>
  <c r="M486" i="1"/>
  <c r="N486" i="1"/>
  <c r="L487" i="1"/>
  <c r="M487" i="1"/>
  <c r="N487" i="1"/>
  <c r="L488" i="1"/>
  <c r="M488" i="1"/>
  <c r="N488" i="1"/>
  <c r="L489" i="1"/>
  <c r="M489" i="1"/>
  <c r="Q489" i="1" s="1"/>
  <c r="N489" i="1"/>
  <c r="L490" i="1"/>
  <c r="M490" i="1"/>
  <c r="N490" i="1"/>
  <c r="L491" i="1"/>
  <c r="M491" i="1"/>
  <c r="N491" i="1"/>
  <c r="L492" i="1"/>
  <c r="M492" i="1"/>
  <c r="N492" i="1"/>
  <c r="L493" i="1"/>
  <c r="M493" i="1"/>
  <c r="Q493" i="1" s="1"/>
  <c r="N493" i="1"/>
  <c r="L494" i="1"/>
  <c r="M494" i="1"/>
  <c r="N494" i="1"/>
  <c r="L495" i="1"/>
  <c r="M495" i="1"/>
  <c r="N495" i="1"/>
  <c r="L496" i="1"/>
  <c r="M496" i="1"/>
  <c r="N496" i="1"/>
  <c r="L497" i="1"/>
  <c r="M497" i="1"/>
  <c r="Q497" i="1" s="1"/>
  <c r="N497" i="1"/>
  <c r="L498" i="1"/>
  <c r="M498" i="1"/>
  <c r="N498" i="1"/>
  <c r="L499" i="1"/>
  <c r="M499" i="1"/>
  <c r="N499" i="1"/>
  <c r="L500" i="1"/>
  <c r="M500" i="1"/>
  <c r="N500" i="1"/>
  <c r="L501" i="1"/>
  <c r="M501" i="1"/>
  <c r="Q501" i="1" s="1"/>
  <c r="N501" i="1"/>
  <c r="L502" i="1"/>
  <c r="M502" i="1"/>
  <c r="N502" i="1"/>
  <c r="L503" i="1"/>
  <c r="M503" i="1"/>
  <c r="N503" i="1"/>
  <c r="L504" i="1"/>
  <c r="M504" i="1"/>
  <c r="N504" i="1"/>
  <c r="L505" i="1"/>
  <c r="M505" i="1"/>
  <c r="Q505" i="1" s="1"/>
  <c r="N505" i="1"/>
  <c r="L506" i="1"/>
  <c r="M506" i="1"/>
  <c r="N506" i="1"/>
  <c r="L507" i="1"/>
  <c r="M507" i="1"/>
  <c r="N507" i="1"/>
  <c r="L508" i="1"/>
  <c r="M508" i="1"/>
  <c r="N508" i="1"/>
  <c r="L509" i="1"/>
  <c r="M509" i="1"/>
  <c r="Q509" i="1" s="1"/>
  <c r="N509" i="1"/>
  <c r="L510" i="1"/>
  <c r="M510" i="1"/>
  <c r="N510" i="1"/>
  <c r="L511" i="1"/>
  <c r="M511" i="1"/>
  <c r="N511" i="1"/>
  <c r="L512" i="1"/>
  <c r="M512" i="1"/>
  <c r="N512" i="1"/>
  <c r="L513" i="1"/>
  <c r="M513" i="1"/>
  <c r="Q513" i="1" s="1"/>
  <c r="N513" i="1"/>
  <c r="L514" i="1"/>
  <c r="M514" i="1"/>
  <c r="N514" i="1"/>
  <c r="L515" i="1"/>
  <c r="M515" i="1"/>
  <c r="N515" i="1"/>
  <c r="L516" i="1"/>
  <c r="M516" i="1"/>
  <c r="N516" i="1"/>
  <c r="L517" i="1"/>
  <c r="M517" i="1"/>
  <c r="Q517" i="1" s="1"/>
  <c r="N517" i="1"/>
  <c r="L518" i="1"/>
  <c r="M518" i="1"/>
  <c r="N518" i="1"/>
  <c r="L519" i="1"/>
  <c r="M519" i="1"/>
  <c r="N519" i="1"/>
  <c r="L520" i="1"/>
  <c r="M520" i="1"/>
  <c r="N520" i="1"/>
  <c r="L521" i="1"/>
  <c r="M521" i="1"/>
  <c r="Q521" i="1" s="1"/>
  <c r="N521" i="1"/>
  <c r="L522" i="1"/>
  <c r="M522" i="1"/>
  <c r="N522" i="1"/>
  <c r="L523" i="1"/>
  <c r="M523" i="1"/>
  <c r="N523" i="1"/>
  <c r="L524" i="1"/>
  <c r="M524" i="1"/>
  <c r="N524" i="1"/>
  <c r="L525" i="1"/>
  <c r="M525" i="1"/>
  <c r="Q525" i="1" s="1"/>
  <c r="N525" i="1"/>
  <c r="L526" i="1"/>
  <c r="M526" i="1"/>
  <c r="N526" i="1"/>
  <c r="L527" i="1"/>
  <c r="M527" i="1"/>
  <c r="N527" i="1"/>
  <c r="L528" i="1"/>
  <c r="M528" i="1"/>
  <c r="N528" i="1"/>
  <c r="L529" i="1"/>
  <c r="M529" i="1"/>
  <c r="Q529" i="1" s="1"/>
  <c r="N529" i="1"/>
  <c r="L530" i="1"/>
  <c r="M530" i="1"/>
  <c r="N530" i="1"/>
  <c r="L531" i="1"/>
  <c r="M531" i="1"/>
  <c r="N531" i="1"/>
  <c r="L532" i="1"/>
  <c r="M532" i="1"/>
  <c r="N532" i="1"/>
  <c r="L533" i="1"/>
  <c r="M533" i="1"/>
  <c r="Q533" i="1" s="1"/>
  <c r="N533" i="1"/>
  <c r="L534" i="1"/>
  <c r="M534" i="1"/>
  <c r="N534" i="1"/>
  <c r="L535" i="1"/>
  <c r="M535" i="1"/>
  <c r="N535" i="1"/>
  <c r="L536" i="1"/>
  <c r="M536" i="1"/>
  <c r="N536" i="1"/>
  <c r="L537" i="1"/>
  <c r="M537" i="1"/>
  <c r="Q537" i="1" s="1"/>
  <c r="N537" i="1"/>
  <c r="L538" i="1"/>
  <c r="M538" i="1"/>
  <c r="N538" i="1"/>
  <c r="L539" i="1"/>
  <c r="M539" i="1"/>
  <c r="N539" i="1"/>
  <c r="L540" i="1"/>
  <c r="M540" i="1"/>
  <c r="N540" i="1"/>
  <c r="L541" i="1"/>
  <c r="M541" i="1"/>
  <c r="Q541" i="1" s="1"/>
  <c r="N541" i="1"/>
  <c r="L542" i="1"/>
  <c r="M542" i="1"/>
  <c r="N542" i="1"/>
  <c r="L543" i="1"/>
  <c r="M543" i="1"/>
  <c r="N543" i="1"/>
  <c r="L544" i="1"/>
  <c r="M544" i="1"/>
  <c r="N544" i="1"/>
  <c r="L545" i="1"/>
  <c r="M545" i="1"/>
  <c r="Q545" i="1" s="1"/>
  <c r="N545" i="1"/>
  <c r="L546" i="1"/>
  <c r="M546" i="1"/>
  <c r="N546" i="1"/>
  <c r="L547" i="1"/>
  <c r="M547" i="1"/>
  <c r="N547" i="1"/>
  <c r="L548" i="1"/>
  <c r="M548" i="1"/>
  <c r="N548" i="1"/>
  <c r="L549" i="1"/>
  <c r="M549" i="1"/>
  <c r="Q549" i="1" s="1"/>
  <c r="N549" i="1"/>
  <c r="L550" i="1"/>
  <c r="M550" i="1"/>
  <c r="N550" i="1"/>
  <c r="L551" i="1"/>
  <c r="M551" i="1"/>
  <c r="N551" i="1"/>
  <c r="L552" i="1"/>
  <c r="M552" i="1"/>
  <c r="N552" i="1"/>
  <c r="L553" i="1"/>
  <c r="M553" i="1"/>
  <c r="Q553" i="1" s="1"/>
  <c r="N553" i="1"/>
  <c r="L554" i="1"/>
  <c r="M554" i="1"/>
  <c r="N554" i="1"/>
  <c r="L555" i="1"/>
  <c r="M555" i="1"/>
  <c r="N555" i="1"/>
  <c r="L556" i="1"/>
  <c r="M556" i="1"/>
  <c r="N556" i="1"/>
  <c r="L557" i="1"/>
  <c r="M557" i="1"/>
  <c r="Q557" i="1" s="1"/>
  <c r="N557" i="1"/>
  <c r="L558" i="1"/>
  <c r="M558" i="1"/>
  <c r="N558" i="1"/>
  <c r="L559" i="1"/>
  <c r="M559" i="1"/>
  <c r="N559" i="1"/>
  <c r="L560" i="1"/>
  <c r="M560" i="1"/>
  <c r="N560" i="1"/>
  <c r="L561" i="1"/>
  <c r="M561" i="1"/>
  <c r="Q561" i="1" s="1"/>
  <c r="N561" i="1"/>
  <c r="L562" i="1"/>
  <c r="M562" i="1"/>
  <c r="N562" i="1"/>
  <c r="L563" i="1"/>
  <c r="M563" i="1"/>
  <c r="N563" i="1"/>
  <c r="L564" i="1"/>
  <c r="M564" i="1"/>
  <c r="N564" i="1"/>
  <c r="L565" i="1"/>
  <c r="M565" i="1"/>
  <c r="Q565" i="1" s="1"/>
  <c r="N565" i="1"/>
  <c r="L566" i="1"/>
  <c r="M566" i="1"/>
  <c r="N566" i="1"/>
  <c r="L567" i="1"/>
  <c r="M567" i="1"/>
  <c r="N567" i="1"/>
  <c r="L568" i="1"/>
  <c r="M568" i="1"/>
  <c r="N568" i="1"/>
  <c r="L569" i="1"/>
  <c r="M569" i="1"/>
  <c r="Q569" i="1" s="1"/>
  <c r="N569" i="1"/>
  <c r="L570" i="1"/>
  <c r="M570" i="1"/>
  <c r="N570" i="1"/>
  <c r="L571" i="1"/>
  <c r="M571" i="1"/>
  <c r="N571" i="1"/>
  <c r="L572" i="1"/>
  <c r="M572" i="1"/>
  <c r="N572" i="1"/>
  <c r="L573" i="1"/>
  <c r="M573" i="1"/>
  <c r="Q573" i="1" s="1"/>
  <c r="N573" i="1"/>
  <c r="L574" i="1"/>
  <c r="M574" i="1"/>
  <c r="N574" i="1"/>
  <c r="L575" i="1"/>
  <c r="M575" i="1"/>
  <c r="N575" i="1"/>
  <c r="L576" i="1"/>
  <c r="M576" i="1"/>
  <c r="N576" i="1"/>
  <c r="L577" i="1"/>
  <c r="M577" i="1"/>
  <c r="Q577" i="1" s="1"/>
  <c r="N577" i="1"/>
  <c r="L578" i="1"/>
  <c r="M578" i="1"/>
  <c r="N578" i="1"/>
  <c r="L579" i="1"/>
  <c r="M579" i="1"/>
  <c r="Q579" i="1" s="1"/>
  <c r="N579" i="1"/>
  <c r="L580" i="1"/>
  <c r="M580" i="1"/>
  <c r="N580" i="1"/>
  <c r="L581" i="1"/>
  <c r="M581" i="1"/>
  <c r="Q581" i="1" s="1"/>
  <c r="N581" i="1"/>
  <c r="L582" i="1"/>
  <c r="M582" i="1"/>
  <c r="N582" i="1"/>
  <c r="L583" i="1"/>
  <c r="M583" i="1"/>
  <c r="Q583" i="1" s="1"/>
  <c r="N583" i="1"/>
  <c r="L584" i="1"/>
  <c r="M584" i="1"/>
  <c r="N584" i="1"/>
  <c r="L585" i="1"/>
  <c r="M585" i="1"/>
  <c r="Q585" i="1" s="1"/>
  <c r="N585" i="1"/>
  <c r="L586" i="1"/>
  <c r="M586" i="1"/>
  <c r="N586" i="1"/>
  <c r="L587" i="1"/>
  <c r="M587" i="1"/>
  <c r="Q587" i="1" s="1"/>
  <c r="N587" i="1"/>
  <c r="L588" i="1"/>
  <c r="M588" i="1"/>
  <c r="N588" i="1"/>
  <c r="L589" i="1"/>
  <c r="M589" i="1"/>
  <c r="Q589" i="1" s="1"/>
  <c r="N589" i="1"/>
  <c r="L590" i="1"/>
  <c r="M590" i="1"/>
  <c r="N590" i="1"/>
  <c r="L591" i="1"/>
  <c r="M591" i="1"/>
  <c r="Q591" i="1" s="1"/>
  <c r="N591" i="1"/>
  <c r="L592" i="1"/>
  <c r="M592" i="1"/>
  <c r="N592" i="1"/>
  <c r="L593" i="1"/>
  <c r="M593" i="1"/>
  <c r="Q593" i="1" s="1"/>
  <c r="N593" i="1"/>
  <c r="L594" i="1"/>
  <c r="M594" i="1"/>
  <c r="N594" i="1"/>
  <c r="L595" i="1"/>
  <c r="M595" i="1"/>
  <c r="Q595" i="1" s="1"/>
  <c r="N595" i="1"/>
  <c r="L596" i="1"/>
  <c r="M596" i="1"/>
  <c r="N596" i="1"/>
  <c r="L597" i="1"/>
  <c r="M597" i="1"/>
  <c r="Q597" i="1" s="1"/>
  <c r="N597" i="1"/>
  <c r="L598" i="1"/>
  <c r="M598" i="1"/>
  <c r="N598" i="1"/>
  <c r="L599" i="1"/>
  <c r="M599" i="1"/>
  <c r="Q599" i="1" s="1"/>
  <c r="N599" i="1"/>
  <c r="L600" i="1"/>
  <c r="M600" i="1"/>
  <c r="N600" i="1"/>
  <c r="L601" i="1"/>
  <c r="M601" i="1"/>
  <c r="Q601" i="1" s="1"/>
  <c r="N601" i="1"/>
  <c r="L602" i="1"/>
  <c r="M602" i="1"/>
  <c r="N602" i="1"/>
  <c r="L603" i="1"/>
  <c r="M603" i="1"/>
  <c r="Q603" i="1" s="1"/>
  <c r="N603" i="1"/>
  <c r="L604" i="1"/>
  <c r="M604" i="1"/>
  <c r="N604" i="1"/>
  <c r="L605" i="1"/>
  <c r="M605" i="1"/>
  <c r="Q605" i="1" s="1"/>
  <c r="N605" i="1"/>
  <c r="L606" i="1"/>
  <c r="M606" i="1"/>
  <c r="N606" i="1"/>
  <c r="L607" i="1"/>
  <c r="M607" i="1"/>
  <c r="Q607" i="1" s="1"/>
  <c r="N607" i="1"/>
  <c r="L608" i="1"/>
  <c r="M608" i="1"/>
  <c r="N608" i="1"/>
  <c r="L609" i="1"/>
  <c r="M609" i="1"/>
  <c r="Q609" i="1" s="1"/>
  <c r="N609" i="1"/>
  <c r="L610" i="1"/>
  <c r="M610" i="1"/>
  <c r="N610" i="1"/>
  <c r="L611" i="1"/>
  <c r="M611" i="1"/>
  <c r="Q611" i="1" s="1"/>
  <c r="N611" i="1"/>
  <c r="L612" i="1"/>
  <c r="M612" i="1"/>
  <c r="N612" i="1"/>
  <c r="L613" i="1"/>
  <c r="M613" i="1"/>
  <c r="Q613" i="1" s="1"/>
  <c r="N613" i="1"/>
  <c r="L614" i="1"/>
  <c r="M614" i="1"/>
  <c r="N614" i="1"/>
  <c r="L615" i="1"/>
  <c r="M615" i="1"/>
  <c r="Q615" i="1" s="1"/>
  <c r="N615" i="1"/>
  <c r="L616" i="1"/>
  <c r="M616" i="1"/>
  <c r="N616" i="1"/>
  <c r="L617" i="1"/>
  <c r="M617" i="1"/>
  <c r="Q617" i="1" s="1"/>
  <c r="N617" i="1"/>
  <c r="L618" i="1"/>
  <c r="M618" i="1"/>
  <c r="N618" i="1"/>
  <c r="L619" i="1"/>
  <c r="M619" i="1"/>
  <c r="Q619" i="1" s="1"/>
  <c r="N619" i="1"/>
  <c r="L620" i="1"/>
  <c r="M620" i="1"/>
  <c r="N620" i="1"/>
  <c r="L621" i="1"/>
  <c r="M621" i="1"/>
  <c r="Q621" i="1" s="1"/>
  <c r="N621" i="1"/>
  <c r="L622" i="1"/>
  <c r="M622" i="1"/>
  <c r="N622" i="1"/>
  <c r="L623" i="1"/>
  <c r="M623" i="1"/>
  <c r="Q623" i="1" s="1"/>
  <c r="N623" i="1"/>
  <c r="L624" i="1"/>
  <c r="M624" i="1"/>
  <c r="N624" i="1"/>
  <c r="L625" i="1"/>
  <c r="M625" i="1"/>
  <c r="Q625" i="1" s="1"/>
  <c r="N625" i="1"/>
  <c r="L626" i="1"/>
  <c r="M626" i="1"/>
  <c r="N626" i="1"/>
  <c r="L627" i="1"/>
  <c r="M627" i="1"/>
  <c r="Q627" i="1" s="1"/>
  <c r="N627" i="1"/>
  <c r="L628" i="1"/>
  <c r="M628" i="1"/>
  <c r="N628" i="1"/>
  <c r="L629" i="1"/>
  <c r="M629" i="1"/>
  <c r="Q629" i="1" s="1"/>
  <c r="N629" i="1"/>
  <c r="L630" i="1"/>
  <c r="M630" i="1"/>
  <c r="N630" i="1"/>
  <c r="L631" i="1"/>
  <c r="M631" i="1"/>
  <c r="Q631" i="1" s="1"/>
  <c r="N631" i="1"/>
  <c r="L632" i="1"/>
  <c r="M632" i="1"/>
  <c r="N632" i="1"/>
  <c r="L633" i="1"/>
  <c r="M633" i="1"/>
  <c r="Q633" i="1" s="1"/>
  <c r="N633" i="1"/>
  <c r="L634" i="1"/>
  <c r="M634" i="1"/>
  <c r="N634" i="1"/>
  <c r="L635" i="1"/>
  <c r="M635" i="1"/>
  <c r="Q635" i="1" s="1"/>
  <c r="N635" i="1"/>
  <c r="L636" i="1"/>
  <c r="M636" i="1"/>
  <c r="N636" i="1"/>
  <c r="L637" i="1"/>
  <c r="M637" i="1"/>
  <c r="Q637" i="1" s="1"/>
  <c r="N637" i="1"/>
  <c r="L638" i="1"/>
  <c r="M638" i="1"/>
  <c r="N638" i="1"/>
  <c r="L639" i="1"/>
  <c r="M639" i="1"/>
  <c r="Q639" i="1" s="1"/>
  <c r="N639" i="1"/>
  <c r="L640" i="1"/>
  <c r="M640" i="1"/>
  <c r="N640" i="1"/>
  <c r="L641" i="1"/>
  <c r="M641" i="1"/>
  <c r="Q641" i="1" s="1"/>
  <c r="N641" i="1"/>
  <c r="L642" i="1"/>
  <c r="M642" i="1"/>
  <c r="N642" i="1"/>
  <c r="L643" i="1"/>
  <c r="M643" i="1"/>
  <c r="Q643" i="1" s="1"/>
  <c r="N643" i="1"/>
  <c r="L644" i="1"/>
  <c r="M644" i="1"/>
  <c r="N644" i="1"/>
  <c r="L645" i="1"/>
  <c r="M645" i="1"/>
  <c r="Q645" i="1" s="1"/>
  <c r="N645" i="1"/>
  <c r="L646" i="1"/>
  <c r="M646" i="1"/>
  <c r="N646" i="1"/>
  <c r="L647" i="1"/>
  <c r="M647" i="1"/>
  <c r="Q647" i="1" s="1"/>
  <c r="N647" i="1"/>
  <c r="L648" i="1"/>
  <c r="M648" i="1"/>
  <c r="N648" i="1"/>
  <c r="L649" i="1"/>
  <c r="M649" i="1"/>
  <c r="Q649" i="1" s="1"/>
  <c r="N649" i="1"/>
  <c r="L650" i="1"/>
  <c r="M650" i="1"/>
  <c r="N650" i="1"/>
  <c r="L651" i="1"/>
  <c r="M651" i="1"/>
  <c r="Q651" i="1" s="1"/>
  <c r="N651" i="1"/>
  <c r="L652" i="1"/>
  <c r="M652" i="1"/>
  <c r="N652" i="1"/>
  <c r="L653" i="1"/>
  <c r="M653" i="1"/>
  <c r="Q653" i="1" s="1"/>
  <c r="N653" i="1"/>
  <c r="L654" i="1"/>
  <c r="M654" i="1"/>
  <c r="N654" i="1"/>
  <c r="L655" i="1"/>
  <c r="M655" i="1"/>
  <c r="Q655" i="1" s="1"/>
  <c r="N655" i="1"/>
  <c r="L656" i="1"/>
  <c r="M656" i="1"/>
  <c r="N656" i="1"/>
  <c r="L657" i="1"/>
  <c r="M657" i="1"/>
  <c r="Q657" i="1" s="1"/>
  <c r="N657" i="1"/>
  <c r="L658" i="1"/>
  <c r="M658" i="1"/>
  <c r="N658" i="1"/>
  <c r="L659" i="1"/>
  <c r="M659" i="1"/>
  <c r="Q659" i="1" s="1"/>
  <c r="N659" i="1"/>
  <c r="L660" i="1"/>
  <c r="M660" i="1"/>
  <c r="N660" i="1"/>
  <c r="L661" i="1"/>
  <c r="M661" i="1"/>
  <c r="Q661" i="1" s="1"/>
  <c r="N661" i="1"/>
  <c r="L662" i="1"/>
  <c r="M662" i="1"/>
  <c r="N662" i="1"/>
  <c r="L663" i="1"/>
  <c r="M663" i="1"/>
  <c r="Q663" i="1" s="1"/>
  <c r="N663" i="1"/>
  <c r="L664" i="1"/>
  <c r="M664" i="1"/>
  <c r="N664" i="1"/>
  <c r="L665" i="1"/>
  <c r="M665" i="1"/>
  <c r="Q665" i="1" s="1"/>
  <c r="N665" i="1"/>
  <c r="L666" i="1"/>
  <c r="M666" i="1"/>
  <c r="N666" i="1"/>
  <c r="L667" i="1"/>
  <c r="M667" i="1"/>
  <c r="Q667" i="1" s="1"/>
  <c r="N667" i="1"/>
  <c r="L668" i="1"/>
  <c r="M668" i="1"/>
  <c r="N668" i="1"/>
  <c r="L669" i="1"/>
  <c r="M669" i="1"/>
  <c r="Q669" i="1" s="1"/>
  <c r="N669" i="1"/>
  <c r="L670" i="1"/>
  <c r="M670" i="1"/>
  <c r="N670" i="1"/>
  <c r="L671" i="1"/>
  <c r="M671" i="1"/>
  <c r="Q671" i="1" s="1"/>
  <c r="N671" i="1"/>
  <c r="L672" i="1"/>
  <c r="M672" i="1"/>
  <c r="N672" i="1"/>
  <c r="L673" i="1"/>
  <c r="M673" i="1"/>
  <c r="Q673" i="1" s="1"/>
  <c r="N673" i="1"/>
  <c r="L674" i="1"/>
  <c r="M674" i="1"/>
  <c r="N674" i="1"/>
  <c r="L675" i="1"/>
  <c r="M675" i="1"/>
  <c r="Q675" i="1" s="1"/>
  <c r="N675" i="1"/>
  <c r="L676" i="1"/>
  <c r="M676" i="1"/>
  <c r="N676" i="1"/>
  <c r="L677" i="1"/>
  <c r="M677" i="1"/>
  <c r="Q677" i="1" s="1"/>
  <c r="N677" i="1"/>
  <c r="L678" i="1"/>
  <c r="M678" i="1"/>
  <c r="N678" i="1"/>
  <c r="L679" i="1"/>
  <c r="M679" i="1"/>
  <c r="Q679" i="1" s="1"/>
  <c r="N679" i="1"/>
  <c r="L680" i="1"/>
  <c r="M680" i="1"/>
  <c r="N680" i="1"/>
  <c r="L681" i="1"/>
  <c r="M681" i="1"/>
  <c r="Q681" i="1" s="1"/>
  <c r="N681" i="1"/>
  <c r="L682" i="1"/>
  <c r="M682" i="1"/>
  <c r="N682" i="1"/>
  <c r="L683" i="1"/>
  <c r="M683" i="1"/>
  <c r="Q683" i="1" s="1"/>
  <c r="N683" i="1"/>
  <c r="L684" i="1"/>
  <c r="M684" i="1"/>
  <c r="N684" i="1"/>
  <c r="L685" i="1"/>
  <c r="M685" i="1"/>
  <c r="Q685" i="1" s="1"/>
  <c r="N685" i="1"/>
  <c r="L686" i="1"/>
  <c r="M686" i="1"/>
  <c r="N686" i="1"/>
  <c r="L687" i="1"/>
  <c r="M687" i="1"/>
  <c r="Q687" i="1" s="1"/>
  <c r="N687" i="1"/>
  <c r="L688" i="1"/>
  <c r="M688" i="1"/>
  <c r="N688" i="1"/>
  <c r="L689" i="1"/>
  <c r="M689" i="1"/>
  <c r="Q689" i="1" s="1"/>
  <c r="N689" i="1"/>
  <c r="L690" i="1"/>
  <c r="M690" i="1"/>
  <c r="N690" i="1"/>
  <c r="L691" i="1"/>
  <c r="M691" i="1"/>
  <c r="Q691" i="1" s="1"/>
  <c r="N691" i="1"/>
  <c r="L692" i="1"/>
  <c r="M692" i="1"/>
  <c r="N692" i="1"/>
  <c r="L693" i="1"/>
  <c r="M693" i="1"/>
  <c r="Q693" i="1" s="1"/>
  <c r="N693" i="1"/>
  <c r="L694" i="1"/>
  <c r="M694" i="1"/>
  <c r="N694" i="1"/>
  <c r="L695" i="1"/>
  <c r="M695" i="1"/>
  <c r="Q695" i="1" s="1"/>
  <c r="N695" i="1"/>
  <c r="L696" i="1"/>
  <c r="M696" i="1"/>
  <c r="N696" i="1"/>
  <c r="L697" i="1"/>
  <c r="M697" i="1"/>
  <c r="Q697" i="1" s="1"/>
  <c r="N697" i="1"/>
  <c r="L698" i="1"/>
  <c r="M698" i="1"/>
  <c r="N698" i="1"/>
  <c r="L699" i="1"/>
  <c r="M699" i="1"/>
  <c r="Q699" i="1" s="1"/>
  <c r="N699" i="1"/>
  <c r="L700" i="1"/>
  <c r="M700" i="1"/>
  <c r="N700" i="1"/>
  <c r="L701" i="1"/>
  <c r="M701" i="1"/>
  <c r="Q701" i="1" s="1"/>
  <c r="N701" i="1"/>
  <c r="L702" i="1"/>
  <c r="M702" i="1"/>
  <c r="N702" i="1"/>
  <c r="L703" i="1"/>
  <c r="M703" i="1"/>
  <c r="Q703" i="1" s="1"/>
  <c r="N703" i="1"/>
  <c r="L704" i="1"/>
  <c r="M704" i="1"/>
  <c r="N704" i="1"/>
  <c r="L705" i="1"/>
  <c r="M705" i="1"/>
  <c r="Q705" i="1" s="1"/>
  <c r="N705" i="1"/>
  <c r="L706" i="1"/>
  <c r="M706" i="1"/>
  <c r="N706" i="1"/>
  <c r="L707" i="1"/>
  <c r="M707" i="1"/>
  <c r="Q707" i="1" s="1"/>
  <c r="N707" i="1"/>
  <c r="L708" i="1"/>
  <c r="M708" i="1"/>
  <c r="N708" i="1"/>
  <c r="L709" i="1"/>
  <c r="M709" i="1"/>
  <c r="Q709" i="1" s="1"/>
  <c r="N709" i="1"/>
  <c r="L710" i="1"/>
  <c r="M710" i="1"/>
  <c r="N710" i="1"/>
  <c r="L711" i="1"/>
  <c r="M711" i="1"/>
  <c r="Q711" i="1" s="1"/>
  <c r="N711" i="1"/>
  <c r="L712" i="1"/>
  <c r="M712" i="1"/>
  <c r="N712" i="1"/>
  <c r="L713" i="1"/>
  <c r="M713" i="1"/>
  <c r="Q713" i="1" s="1"/>
  <c r="N713" i="1"/>
  <c r="L714" i="1"/>
  <c r="M714" i="1"/>
  <c r="N714" i="1"/>
  <c r="L715" i="1"/>
  <c r="M715" i="1"/>
  <c r="Q715" i="1" s="1"/>
  <c r="N715" i="1"/>
  <c r="L716" i="1"/>
  <c r="M716" i="1"/>
  <c r="N716" i="1"/>
  <c r="L717" i="1"/>
  <c r="M717" i="1"/>
  <c r="Q717" i="1" s="1"/>
  <c r="N717" i="1"/>
  <c r="L718" i="1"/>
  <c r="M718" i="1"/>
  <c r="N718" i="1"/>
  <c r="L719" i="1"/>
  <c r="M719" i="1"/>
  <c r="N719" i="1"/>
  <c r="L720" i="1"/>
  <c r="M720" i="1"/>
  <c r="N720" i="1"/>
  <c r="L721" i="1"/>
  <c r="M721" i="1"/>
  <c r="Q721" i="1" s="1"/>
  <c r="N721" i="1"/>
  <c r="L722" i="1"/>
  <c r="M722" i="1"/>
  <c r="N722" i="1"/>
  <c r="L723" i="1"/>
  <c r="M723" i="1"/>
  <c r="N723" i="1"/>
  <c r="L724" i="1"/>
  <c r="M724" i="1"/>
  <c r="N724" i="1"/>
  <c r="L725" i="1"/>
  <c r="M725" i="1"/>
  <c r="Q725" i="1" s="1"/>
  <c r="N725" i="1"/>
  <c r="L726" i="1"/>
  <c r="M726" i="1"/>
  <c r="N726" i="1"/>
  <c r="L727" i="1"/>
  <c r="M727" i="1"/>
  <c r="N727" i="1"/>
  <c r="L728" i="1"/>
  <c r="M728" i="1"/>
  <c r="N728" i="1"/>
  <c r="L729" i="1"/>
  <c r="M729" i="1"/>
  <c r="Q729" i="1" s="1"/>
  <c r="N729" i="1"/>
  <c r="L730" i="1"/>
  <c r="M730" i="1"/>
  <c r="N730" i="1"/>
  <c r="L731" i="1"/>
  <c r="M731" i="1"/>
  <c r="N731" i="1"/>
  <c r="L732" i="1"/>
  <c r="M732" i="1"/>
  <c r="N732" i="1"/>
  <c r="L733" i="1"/>
  <c r="M733" i="1"/>
  <c r="Q733" i="1" s="1"/>
  <c r="N733" i="1"/>
  <c r="L734" i="1"/>
  <c r="M734" i="1"/>
  <c r="N734" i="1"/>
  <c r="L735" i="1"/>
  <c r="M735" i="1"/>
  <c r="N735" i="1"/>
  <c r="L736" i="1"/>
  <c r="M736" i="1"/>
  <c r="N736" i="1"/>
  <c r="L737" i="1"/>
  <c r="M737" i="1"/>
  <c r="Q737" i="1" s="1"/>
  <c r="N737" i="1"/>
  <c r="L738" i="1"/>
  <c r="M738" i="1"/>
  <c r="N738" i="1"/>
  <c r="L739" i="1"/>
  <c r="M739" i="1"/>
  <c r="N739" i="1"/>
  <c r="L740" i="1"/>
  <c r="M740" i="1"/>
  <c r="N740" i="1"/>
  <c r="L741" i="1"/>
  <c r="M741" i="1"/>
  <c r="Q741" i="1" s="1"/>
  <c r="N741" i="1"/>
  <c r="L742" i="1"/>
  <c r="M742" i="1"/>
  <c r="N742" i="1"/>
  <c r="L743" i="1"/>
  <c r="M743" i="1"/>
  <c r="N743" i="1"/>
  <c r="L744" i="1"/>
  <c r="M744" i="1"/>
  <c r="N744" i="1"/>
  <c r="L745" i="1"/>
  <c r="M745" i="1"/>
  <c r="Q745" i="1" s="1"/>
  <c r="N745" i="1"/>
  <c r="L746" i="1"/>
  <c r="M746" i="1"/>
  <c r="N746" i="1"/>
  <c r="L747" i="1"/>
  <c r="M747" i="1"/>
  <c r="N747" i="1"/>
  <c r="L748" i="1"/>
  <c r="M748" i="1"/>
  <c r="N748" i="1"/>
  <c r="L749" i="1"/>
  <c r="M749" i="1"/>
  <c r="Q749" i="1" s="1"/>
  <c r="N749" i="1"/>
  <c r="L750" i="1"/>
  <c r="M750" i="1"/>
  <c r="N750" i="1"/>
  <c r="L751" i="1"/>
  <c r="M751" i="1"/>
  <c r="N751" i="1"/>
  <c r="L752" i="1"/>
  <c r="M752" i="1"/>
  <c r="N752" i="1"/>
  <c r="L753" i="1"/>
  <c r="M753" i="1"/>
  <c r="Q753" i="1" s="1"/>
  <c r="N753" i="1"/>
  <c r="L754" i="1"/>
  <c r="M754" i="1"/>
  <c r="N754" i="1"/>
  <c r="L755" i="1"/>
  <c r="M755" i="1"/>
  <c r="N755" i="1"/>
  <c r="L756" i="1"/>
  <c r="M756" i="1"/>
  <c r="N756" i="1"/>
  <c r="L757" i="1"/>
  <c r="M757" i="1"/>
  <c r="Q757" i="1" s="1"/>
  <c r="N757" i="1"/>
  <c r="L758" i="1"/>
  <c r="M758" i="1"/>
  <c r="N758" i="1"/>
  <c r="L759" i="1"/>
  <c r="M759" i="1"/>
  <c r="N759" i="1"/>
  <c r="L760" i="1"/>
  <c r="M760" i="1"/>
  <c r="N760" i="1"/>
  <c r="L761" i="1"/>
  <c r="M761" i="1"/>
  <c r="Q761" i="1" s="1"/>
  <c r="N761" i="1"/>
  <c r="L762" i="1"/>
  <c r="M762" i="1"/>
  <c r="N762" i="1"/>
  <c r="L763" i="1"/>
  <c r="M763" i="1"/>
  <c r="N763" i="1"/>
  <c r="L764" i="1"/>
  <c r="M764" i="1"/>
  <c r="N764" i="1"/>
  <c r="L765" i="1"/>
  <c r="M765" i="1"/>
  <c r="Q765" i="1" s="1"/>
  <c r="N765" i="1"/>
  <c r="L766" i="1"/>
  <c r="M766" i="1"/>
  <c r="N766" i="1"/>
  <c r="L767" i="1"/>
  <c r="M767" i="1"/>
  <c r="N767" i="1"/>
  <c r="L768" i="1"/>
  <c r="M768" i="1"/>
  <c r="N768" i="1"/>
  <c r="L769" i="1"/>
  <c r="M769" i="1"/>
  <c r="Q769" i="1" s="1"/>
  <c r="N769" i="1"/>
  <c r="L770" i="1"/>
  <c r="M770" i="1"/>
  <c r="N770" i="1"/>
  <c r="L771" i="1"/>
  <c r="M771" i="1"/>
  <c r="N771" i="1"/>
  <c r="L772" i="1"/>
  <c r="M772" i="1"/>
  <c r="N772" i="1"/>
  <c r="L773" i="1"/>
  <c r="M773" i="1"/>
  <c r="Q773" i="1" s="1"/>
  <c r="N773" i="1"/>
  <c r="L774" i="1"/>
  <c r="M774" i="1"/>
  <c r="N774" i="1"/>
  <c r="L775" i="1"/>
  <c r="M775" i="1"/>
  <c r="N775" i="1"/>
  <c r="L776" i="1"/>
  <c r="M776" i="1"/>
  <c r="N776" i="1"/>
  <c r="L777" i="1"/>
  <c r="M777" i="1"/>
  <c r="Q777" i="1" s="1"/>
  <c r="N777" i="1"/>
  <c r="L778" i="1"/>
  <c r="M778" i="1"/>
  <c r="N778" i="1"/>
  <c r="L779" i="1"/>
  <c r="M779" i="1"/>
  <c r="N779" i="1"/>
  <c r="L780" i="1"/>
  <c r="M780" i="1"/>
  <c r="N780" i="1"/>
  <c r="L781" i="1"/>
  <c r="M781" i="1"/>
  <c r="Q781" i="1" s="1"/>
  <c r="N781" i="1"/>
  <c r="R781" i="1" s="1"/>
  <c r="L782" i="1"/>
  <c r="M782" i="1"/>
  <c r="N782" i="1"/>
  <c r="L783" i="1"/>
  <c r="M783" i="1"/>
  <c r="N783" i="1"/>
  <c r="L784" i="1"/>
  <c r="M784" i="1"/>
  <c r="N784" i="1"/>
  <c r="L785" i="1"/>
  <c r="M785" i="1"/>
  <c r="Q785" i="1" s="1"/>
  <c r="N785" i="1"/>
  <c r="R785" i="1" s="1"/>
  <c r="L786" i="1"/>
  <c r="M786" i="1"/>
  <c r="N786" i="1"/>
  <c r="L787" i="1"/>
  <c r="M787" i="1"/>
  <c r="N787" i="1"/>
  <c r="L788" i="1"/>
  <c r="M788" i="1"/>
  <c r="N788" i="1"/>
  <c r="L789" i="1"/>
  <c r="M789" i="1"/>
  <c r="Q789" i="1" s="1"/>
  <c r="N789" i="1"/>
  <c r="R789" i="1" s="1"/>
  <c r="L790" i="1"/>
  <c r="M790" i="1"/>
  <c r="N790" i="1"/>
  <c r="L791" i="1"/>
  <c r="M791" i="1"/>
  <c r="N791" i="1"/>
  <c r="L792" i="1"/>
  <c r="M792" i="1"/>
  <c r="N792" i="1"/>
  <c r="L793" i="1"/>
  <c r="M793" i="1"/>
  <c r="Q793" i="1" s="1"/>
  <c r="N793" i="1"/>
  <c r="R793" i="1" s="1"/>
  <c r="L794" i="1"/>
  <c r="M794" i="1"/>
  <c r="N794" i="1"/>
  <c r="L795" i="1"/>
  <c r="M795" i="1"/>
  <c r="N795" i="1"/>
  <c r="L796" i="1"/>
  <c r="M796" i="1"/>
  <c r="N796" i="1"/>
  <c r="L797" i="1"/>
  <c r="M797" i="1"/>
  <c r="Q797" i="1" s="1"/>
  <c r="N797" i="1"/>
  <c r="R797" i="1" s="1"/>
  <c r="L798" i="1"/>
  <c r="M798" i="1"/>
  <c r="N798" i="1"/>
  <c r="L799" i="1"/>
  <c r="M799" i="1"/>
  <c r="N799" i="1"/>
  <c r="L800" i="1"/>
  <c r="M800" i="1"/>
  <c r="N800" i="1"/>
  <c r="L801" i="1"/>
  <c r="M801" i="1"/>
  <c r="Q801" i="1" s="1"/>
  <c r="N801" i="1"/>
  <c r="R801" i="1" s="1"/>
  <c r="L802" i="1"/>
  <c r="M802" i="1"/>
  <c r="N802" i="1"/>
  <c r="L803" i="1"/>
  <c r="M803" i="1"/>
  <c r="N803" i="1"/>
  <c r="L804" i="1"/>
  <c r="M804" i="1"/>
  <c r="N804" i="1"/>
  <c r="L805" i="1"/>
  <c r="M805" i="1"/>
  <c r="Q805" i="1" s="1"/>
  <c r="N805" i="1"/>
  <c r="R805" i="1" s="1"/>
  <c r="L806" i="1"/>
  <c r="M806" i="1"/>
  <c r="N806" i="1"/>
  <c r="L807" i="1"/>
  <c r="M807" i="1"/>
  <c r="N807" i="1"/>
  <c r="L808" i="1"/>
  <c r="M808" i="1"/>
  <c r="N808" i="1"/>
  <c r="L809" i="1"/>
  <c r="M809" i="1"/>
  <c r="Q809" i="1" s="1"/>
  <c r="N809" i="1"/>
  <c r="R809" i="1" s="1"/>
  <c r="L810" i="1"/>
  <c r="M810" i="1"/>
  <c r="N810" i="1"/>
  <c r="L811" i="1"/>
  <c r="M811" i="1"/>
  <c r="N811" i="1"/>
  <c r="L812" i="1"/>
  <c r="M812" i="1"/>
  <c r="N812" i="1"/>
  <c r="L813" i="1"/>
  <c r="M813" i="1"/>
  <c r="Q813" i="1" s="1"/>
  <c r="N813" i="1"/>
  <c r="R813" i="1" s="1"/>
  <c r="L814" i="1"/>
  <c r="M814" i="1"/>
  <c r="N814" i="1"/>
  <c r="L815" i="1"/>
  <c r="M815" i="1"/>
  <c r="N815" i="1"/>
  <c r="L816" i="1"/>
  <c r="M816" i="1"/>
  <c r="N816" i="1"/>
  <c r="L817" i="1"/>
  <c r="M817" i="1"/>
  <c r="Q817" i="1" s="1"/>
  <c r="N817" i="1"/>
  <c r="R817" i="1" s="1"/>
  <c r="L818" i="1"/>
  <c r="M818" i="1"/>
  <c r="N818" i="1"/>
  <c r="L819" i="1"/>
  <c r="M819" i="1"/>
  <c r="N819" i="1"/>
  <c r="L820" i="1"/>
  <c r="M820" i="1"/>
  <c r="N820" i="1"/>
  <c r="L821" i="1"/>
  <c r="M821" i="1"/>
  <c r="Q821" i="1" s="1"/>
  <c r="N821" i="1"/>
  <c r="R821" i="1" s="1"/>
  <c r="L822" i="1"/>
  <c r="M822" i="1"/>
  <c r="N822" i="1"/>
  <c r="L823" i="1"/>
  <c r="M823" i="1"/>
  <c r="N823" i="1"/>
  <c r="L824" i="1"/>
  <c r="M824" i="1"/>
  <c r="N824" i="1"/>
  <c r="N4" i="1"/>
  <c r="M4" i="1"/>
  <c r="L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J329" i="1" s="1"/>
  <c r="I330" i="1"/>
  <c r="I331" i="1"/>
  <c r="I332" i="1"/>
  <c r="I333" i="1"/>
  <c r="I334" i="1"/>
  <c r="I335" i="1"/>
  <c r="I336" i="1"/>
  <c r="I337" i="1"/>
  <c r="I338" i="1"/>
  <c r="I339" i="1"/>
  <c r="I340" i="1"/>
  <c r="I341" i="1"/>
  <c r="J341" i="1" s="1"/>
  <c r="I342" i="1"/>
  <c r="I343" i="1"/>
  <c r="I344" i="1"/>
  <c r="I345" i="1"/>
  <c r="I346" i="1"/>
  <c r="I347" i="1"/>
  <c r="I348" i="1"/>
  <c r="I349" i="1"/>
  <c r="I350" i="1"/>
  <c r="I351" i="1"/>
  <c r="I352" i="1"/>
  <c r="I353" i="1"/>
  <c r="J353" i="1" s="1"/>
  <c r="I354" i="1"/>
  <c r="I355" i="1"/>
  <c r="I356" i="1"/>
  <c r="I357" i="1"/>
  <c r="I358" i="1"/>
  <c r="I359" i="1"/>
  <c r="I360" i="1"/>
  <c r="I361" i="1"/>
  <c r="I362" i="1"/>
  <c r="I363" i="1"/>
  <c r="I364" i="1"/>
  <c r="I365" i="1"/>
  <c r="J365" i="1" s="1"/>
  <c r="I366" i="1"/>
  <c r="I367" i="1"/>
  <c r="I368" i="1"/>
  <c r="I369" i="1"/>
  <c r="I370" i="1"/>
  <c r="I371" i="1"/>
  <c r="I372" i="1"/>
  <c r="I373" i="1"/>
  <c r="I374" i="1"/>
  <c r="I375" i="1"/>
  <c r="I376" i="1"/>
  <c r="I377" i="1"/>
  <c r="J377" i="1" s="1"/>
  <c r="I378" i="1"/>
  <c r="I379" i="1"/>
  <c r="I380" i="1"/>
  <c r="I381" i="1"/>
  <c r="I382" i="1"/>
  <c r="I383" i="1"/>
  <c r="I384" i="1"/>
  <c r="I385" i="1"/>
  <c r="I386" i="1"/>
  <c r="I387" i="1"/>
  <c r="I388" i="1"/>
  <c r="I389" i="1"/>
  <c r="J389" i="1" s="1"/>
  <c r="I390" i="1"/>
  <c r="I391" i="1"/>
  <c r="I392" i="1"/>
  <c r="I393" i="1"/>
  <c r="I394" i="1"/>
  <c r="I395" i="1"/>
  <c r="I396" i="1"/>
  <c r="I397" i="1"/>
  <c r="I398" i="1"/>
  <c r="I399" i="1"/>
  <c r="I400" i="1"/>
  <c r="I401" i="1"/>
  <c r="J401" i="1" s="1"/>
  <c r="I402" i="1"/>
  <c r="I403" i="1"/>
  <c r="I404" i="1"/>
  <c r="I405" i="1"/>
  <c r="I406" i="1"/>
  <c r="I407" i="1"/>
  <c r="I408" i="1"/>
  <c r="I409" i="1"/>
  <c r="I410" i="1"/>
  <c r="I411" i="1"/>
  <c r="I412" i="1"/>
  <c r="I413" i="1"/>
  <c r="J413" i="1" s="1"/>
  <c r="I414" i="1"/>
  <c r="I415" i="1"/>
  <c r="I416" i="1"/>
  <c r="I417" i="1"/>
  <c r="I418" i="1"/>
  <c r="I419" i="1"/>
  <c r="I420" i="1"/>
  <c r="I421" i="1"/>
  <c r="I422" i="1"/>
  <c r="I423" i="1"/>
  <c r="I424" i="1"/>
  <c r="I425" i="1"/>
  <c r="J425" i="1" s="1"/>
  <c r="I426" i="1"/>
  <c r="I427" i="1"/>
  <c r="I428" i="1"/>
  <c r="I429" i="1"/>
  <c r="I430" i="1"/>
  <c r="I431" i="1"/>
  <c r="I432" i="1"/>
  <c r="I433" i="1"/>
  <c r="I434" i="1"/>
  <c r="I435" i="1"/>
  <c r="I436" i="1"/>
  <c r="I437" i="1"/>
  <c r="J437" i="1" s="1"/>
  <c r="I438" i="1"/>
  <c r="I439" i="1"/>
  <c r="I440" i="1"/>
  <c r="I441" i="1"/>
  <c r="I442" i="1"/>
  <c r="I443" i="1"/>
  <c r="I444" i="1"/>
  <c r="I445" i="1"/>
  <c r="I446" i="1"/>
  <c r="I447" i="1"/>
  <c r="I448" i="1"/>
  <c r="I449" i="1"/>
  <c r="J449" i="1" s="1"/>
  <c r="I450" i="1"/>
  <c r="I451" i="1"/>
  <c r="I452" i="1"/>
  <c r="I453" i="1"/>
  <c r="I454" i="1"/>
  <c r="I455" i="1"/>
  <c r="I456" i="1"/>
  <c r="I457" i="1"/>
  <c r="I458" i="1"/>
  <c r="I459" i="1"/>
  <c r="I460" i="1"/>
  <c r="I461" i="1"/>
  <c r="J461" i="1" s="1"/>
  <c r="I462" i="1"/>
  <c r="I463" i="1"/>
  <c r="I464" i="1"/>
  <c r="I465" i="1"/>
  <c r="I466" i="1"/>
  <c r="I467" i="1"/>
  <c r="I468" i="1"/>
  <c r="I469" i="1"/>
  <c r="I470" i="1"/>
  <c r="I471" i="1"/>
  <c r="I472" i="1"/>
  <c r="I473" i="1"/>
  <c r="J473" i="1" s="1"/>
  <c r="I474" i="1"/>
  <c r="I475" i="1"/>
  <c r="I476" i="1"/>
  <c r="I477" i="1"/>
  <c r="I478" i="1"/>
  <c r="I479" i="1"/>
  <c r="I480" i="1"/>
  <c r="I481" i="1"/>
  <c r="I482" i="1"/>
  <c r="I483" i="1"/>
  <c r="I484" i="1"/>
  <c r="I485" i="1"/>
  <c r="J485" i="1" s="1"/>
  <c r="I486" i="1"/>
  <c r="I487" i="1"/>
  <c r="I488" i="1"/>
  <c r="I489" i="1"/>
  <c r="I490" i="1"/>
  <c r="I491" i="1"/>
  <c r="I492" i="1"/>
  <c r="I493" i="1"/>
  <c r="I494" i="1"/>
  <c r="I495" i="1"/>
  <c r="I496" i="1"/>
  <c r="I497" i="1"/>
  <c r="J497" i="1" s="1"/>
  <c r="I498" i="1"/>
  <c r="I499" i="1"/>
  <c r="I500" i="1"/>
  <c r="I501" i="1"/>
  <c r="I502" i="1"/>
  <c r="I503" i="1"/>
  <c r="I504" i="1"/>
  <c r="I505" i="1"/>
  <c r="I506" i="1"/>
  <c r="I507" i="1"/>
  <c r="I508" i="1"/>
  <c r="I509" i="1"/>
  <c r="J509" i="1" s="1"/>
  <c r="I510" i="1"/>
  <c r="I511" i="1"/>
  <c r="I512" i="1"/>
  <c r="I513" i="1"/>
  <c r="I514" i="1"/>
  <c r="I515" i="1"/>
  <c r="I516" i="1"/>
  <c r="I517" i="1"/>
  <c r="I518" i="1"/>
  <c r="I519" i="1"/>
  <c r="I520" i="1"/>
  <c r="I521" i="1"/>
  <c r="J521" i="1" s="1"/>
  <c r="I522" i="1"/>
  <c r="I523" i="1"/>
  <c r="I524" i="1"/>
  <c r="I525" i="1"/>
  <c r="I526" i="1"/>
  <c r="I527" i="1"/>
  <c r="I528" i="1"/>
  <c r="I529" i="1"/>
  <c r="I530" i="1"/>
  <c r="I531" i="1"/>
  <c r="I532" i="1"/>
  <c r="I533" i="1"/>
  <c r="J533" i="1" s="1"/>
  <c r="I534" i="1"/>
  <c r="I535" i="1"/>
  <c r="I536" i="1"/>
  <c r="I537" i="1"/>
  <c r="I538" i="1"/>
  <c r="I539" i="1"/>
  <c r="I540" i="1"/>
  <c r="I541" i="1"/>
  <c r="I542" i="1"/>
  <c r="I543" i="1"/>
  <c r="I544" i="1"/>
  <c r="I545" i="1"/>
  <c r="J545" i="1" s="1"/>
  <c r="I546" i="1"/>
  <c r="I547" i="1"/>
  <c r="I548" i="1"/>
  <c r="I549" i="1"/>
  <c r="I550" i="1"/>
  <c r="I551" i="1"/>
  <c r="I552" i="1"/>
  <c r="I553" i="1"/>
  <c r="I554" i="1"/>
  <c r="I555" i="1"/>
  <c r="I556" i="1"/>
  <c r="I557" i="1"/>
  <c r="J557" i="1" s="1"/>
  <c r="I558" i="1"/>
  <c r="I559" i="1"/>
  <c r="I560" i="1"/>
  <c r="I561" i="1"/>
  <c r="I562" i="1"/>
  <c r="I563" i="1"/>
  <c r="I564" i="1"/>
  <c r="I565" i="1"/>
  <c r="I566" i="1"/>
  <c r="I567" i="1"/>
  <c r="I568" i="1"/>
  <c r="I569" i="1"/>
  <c r="J569" i="1" s="1"/>
  <c r="I570" i="1"/>
  <c r="I571" i="1"/>
  <c r="I572" i="1"/>
  <c r="I573" i="1"/>
  <c r="I574" i="1"/>
  <c r="I575" i="1"/>
  <c r="I576" i="1"/>
  <c r="I577" i="1"/>
  <c r="I578" i="1"/>
  <c r="I579" i="1"/>
  <c r="I580" i="1"/>
  <c r="I581" i="1"/>
  <c r="J581" i="1" s="1"/>
  <c r="I582" i="1"/>
  <c r="I583" i="1"/>
  <c r="I584" i="1"/>
  <c r="I585" i="1"/>
  <c r="I586" i="1"/>
  <c r="I587" i="1"/>
  <c r="I588" i="1"/>
  <c r="I589" i="1"/>
  <c r="I590" i="1"/>
  <c r="I591" i="1"/>
  <c r="I592" i="1"/>
  <c r="I593" i="1"/>
  <c r="J593" i="1" s="1"/>
  <c r="I594" i="1"/>
  <c r="I595" i="1"/>
  <c r="I596" i="1"/>
  <c r="I597" i="1"/>
  <c r="I598" i="1"/>
  <c r="I599" i="1"/>
  <c r="I600" i="1"/>
  <c r="I601" i="1"/>
  <c r="I602" i="1"/>
  <c r="I603" i="1"/>
  <c r="I604" i="1"/>
  <c r="I605" i="1"/>
  <c r="J605" i="1" s="1"/>
  <c r="I606" i="1"/>
  <c r="I607" i="1"/>
  <c r="I608" i="1"/>
  <c r="I609" i="1"/>
  <c r="I610" i="1"/>
  <c r="I611" i="1"/>
  <c r="I612" i="1"/>
  <c r="I613" i="1"/>
  <c r="I614" i="1"/>
  <c r="I615" i="1"/>
  <c r="I616" i="1"/>
  <c r="I617" i="1"/>
  <c r="J617" i="1" s="1"/>
  <c r="I618" i="1"/>
  <c r="I619" i="1"/>
  <c r="I620" i="1"/>
  <c r="I621" i="1"/>
  <c r="I622" i="1"/>
  <c r="I623" i="1"/>
  <c r="I624" i="1"/>
  <c r="I625" i="1"/>
  <c r="I626" i="1"/>
  <c r="I627" i="1"/>
  <c r="I628" i="1"/>
  <c r="I629" i="1"/>
  <c r="J629" i="1" s="1"/>
  <c r="I630" i="1"/>
  <c r="I631" i="1"/>
  <c r="I632" i="1"/>
  <c r="I633" i="1"/>
  <c r="I634" i="1"/>
  <c r="I635" i="1"/>
  <c r="I636" i="1"/>
  <c r="I637" i="1"/>
  <c r="I638" i="1"/>
  <c r="I639" i="1"/>
  <c r="I640" i="1"/>
  <c r="I641" i="1"/>
  <c r="J641" i="1" s="1"/>
  <c r="I642" i="1"/>
  <c r="I643" i="1"/>
  <c r="I644" i="1"/>
  <c r="I645" i="1"/>
  <c r="I646" i="1"/>
  <c r="I647" i="1"/>
  <c r="I648" i="1"/>
  <c r="I649" i="1"/>
  <c r="I650" i="1"/>
  <c r="I651" i="1"/>
  <c r="I652" i="1"/>
  <c r="I653" i="1"/>
  <c r="J653" i="1" s="1"/>
  <c r="I654" i="1"/>
  <c r="I655" i="1"/>
  <c r="I656" i="1"/>
  <c r="I657" i="1"/>
  <c r="I658" i="1"/>
  <c r="I659" i="1"/>
  <c r="I660" i="1"/>
  <c r="I661" i="1"/>
  <c r="I662" i="1"/>
  <c r="I663" i="1"/>
  <c r="I664" i="1"/>
  <c r="I665" i="1"/>
  <c r="J665" i="1" s="1"/>
  <c r="I666" i="1"/>
  <c r="I667" i="1"/>
  <c r="I668" i="1"/>
  <c r="I669" i="1"/>
  <c r="I670" i="1"/>
  <c r="I671" i="1"/>
  <c r="I672" i="1"/>
  <c r="I673" i="1"/>
  <c r="I674" i="1"/>
  <c r="I675" i="1"/>
  <c r="I676" i="1"/>
  <c r="I677" i="1"/>
  <c r="J677" i="1" s="1"/>
  <c r="I678" i="1"/>
  <c r="I679" i="1"/>
  <c r="I680" i="1"/>
  <c r="I681" i="1"/>
  <c r="I682" i="1"/>
  <c r="I683" i="1"/>
  <c r="I684" i="1"/>
  <c r="I685" i="1"/>
  <c r="I686" i="1"/>
  <c r="I687" i="1"/>
  <c r="I688" i="1"/>
  <c r="I689" i="1"/>
  <c r="J689" i="1" s="1"/>
  <c r="I690" i="1"/>
  <c r="I691" i="1"/>
  <c r="I692" i="1"/>
  <c r="I693" i="1"/>
  <c r="I694" i="1"/>
  <c r="I695" i="1"/>
  <c r="I696" i="1"/>
  <c r="I697" i="1"/>
  <c r="I698" i="1"/>
  <c r="I699" i="1"/>
  <c r="I700" i="1"/>
  <c r="I701" i="1"/>
  <c r="J701" i="1" s="1"/>
  <c r="I702" i="1"/>
  <c r="I703" i="1"/>
  <c r="I704" i="1"/>
  <c r="I705" i="1"/>
  <c r="I706" i="1"/>
  <c r="I707" i="1"/>
  <c r="I708" i="1"/>
  <c r="I709" i="1"/>
  <c r="I710" i="1"/>
  <c r="I711" i="1"/>
  <c r="I712" i="1"/>
  <c r="I713" i="1"/>
  <c r="J713" i="1" s="1"/>
  <c r="I714" i="1"/>
  <c r="I715" i="1"/>
  <c r="I716" i="1"/>
  <c r="I717" i="1"/>
  <c r="I718" i="1"/>
  <c r="I719" i="1"/>
  <c r="I720" i="1"/>
  <c r="I721" i="1"/>
  <c r="I722" i="1"/>
  <c r="I723" i="1"/>
  <c r="I724" i="1"/>
  <c r="I725" i="1"/>
  <c r="J725" i="1" s="1"/>
  <c r="I726" i="1"/>
  <c r="I727" i="1"/>
  <c r="I728" i="1"/>
  <c r="I729" i="1"/>
  <c r="I730" i="1"/>
  <c r="I731" i="1"/>
  <c r="I732" i="1"/>
  <c r="I733" i="1"/>
  <c r="I734" i="1"/>
  <c r="I735" i="1"/>
  <c r="I736" i="1"/>
  <c r="I737" i="1"/>
  <c r="J737" i="1" s="1"/>
  <c r="I738" i="1"/>
  <c r="I739" i="1"/>
  <c r="I740" i="1"/>
  <c r="I741" i="1"/>
  <c r="I742" i="1"/>
  <c r="I743" i="1"/>
  <c r="I744" i="1"/>
  <c r="I745" i="1"/>
  <c r="I746" i="1"/>
  <c r="I747" i="1"/>
  <c r="I748" i="1"/>
  <c r="I749" i="1"/>
  <c r="J749" i="1" s="1"/>
  <c r="I750" i="1"/>
  <c r="I751" i="1"/>
  <c r="I752" i="1"/>
  <c r="I753" i="1"/>
  <c r="I754" i="1"/>
  <c r="I755" i="1"/>
  <c r="I756" i="1"/>
  <c r="I757" i="1"/>
  <c r="I758" i="1"/>
  <c r="I759" i="1"/>
  <c r="I760" i="1"/>
  <c r="I761" i="1"/>
  <c r="J761" i="1" s="1"/>
  <c r="I762" i="1"/>
  <c r="I763" i="1"/>
  <c r="I764" i="1"/>
  <c r="I765" i="1"/>
  <c r="I766" i="1"/>
  <c r="I767" i="1"/>
  <c r="I768" i="1"/>
  <c r="I769" i="1"/>
  <c r="I770" i="1"/>
  <c r="I771" i="1"/>
  <c r="I772" i="1"/>
  <c r="I773" i="1"/>
  <c r="J773" i="1" s="1"/>
  <c r="I774" i="1"/>
  <c r="I775" i="1"/>
  <c r="I776" i="1"/>
  <c r="I777" i="1"/>
  <c r="I778" i="1"/>
  <c r="I779" i="1"/>
  <c r="I780" i="1"/>
  <c r="I781" i="1"/>
  <c r="I782" i="1"/>
  <c r="I783" i="1"/>
  <c r="I784" i="1"/>
  <c r="I785" i="1"/>
  <c r="J785" i="1" s="1"/>
  <c r="I786" i="1"/>
  <c r="I787" i="1"/>
  <c r="I788" i="1"/>
  <c r="I789" i="1"/>
  <c r="I790" i="1"/>
  <c r="I791" i="1"/>
  <c r="I792" i="1"/>
  <c r="I793" i="1"/>
  <c r="I794" i="1"/>
  <c r="I795" i="1"/>
  <c r="I796" i="1"/>
  <c r="I797" i="1"/>
  <c r="J797" i="1" s="1"/>
  <c r="I798" i="1"/>
  <c r="I799" i="1"/>
  <c r="I800" i="1"/>
  <c r="I801" i="1"/>
  <c r="I802" i="1"/>
  <c r="I803" i="1"/>
  <c r="I804" i="1"/>
  <c r="I805" i="1"/>
  <c r="I806" i="1"/>
  <c r="I807" i="1"/>
  <c r="I808" i="1"/>
  <c r="I809" i="1"/>
  <c r="J809" i="1" s="1"/>
  <c r="I810" i="1"/>
  <c r="I811" i="1"/>
  <c r="I812" i="1"/>
  <c r="I813" i="1"/>
  <c r="I814" i="1"/>
  <c r="I815" i="1"/>
  <c r="I816" i="1"/>
  <c r="I817" i="1"/>
  <c r="I818" i="1"/>
  <c r="I819" i="1"/>
  <c r="I820" i="1"/>
  <c r="I821" i="1"/>
  <c r="J821" i="1" s="1"/>
  <c r="I822" i="1"/>
  <c r="I823" i="1"/>
  <c r="I824" i="1"/>
  <c r="I4" i="1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R824" i="1" l="1"/>
  <c r="R820" i="1"/>
  <c r="R816" i="1"/>
  <c r="R812" i="1"/>
  <c r="R808" i="1"/>
  <c r="R804" i="1"/>
  <c r="R800" i="1"/>
  <c r="R796" i="1"/>
  <c r="R792" i="1"/>
  <c r="R788" i="1"/>
  <c r="R784" i="1"/>
  <c r="R780" i="1"/>
  <c r="R776" i="1"/>
  <c r="R772" i="1"/>
  <c r="R768" i="1"/>
  <c r="R764" i="1"/>
  <c r="R760" i="1"/>
  <c r="R756" i="1"/>
  <c r="R752" i="1"/>
  <c r="R748" i="1"/>
  <c r="R744" i="1"/>
  <c r="R740" i="1"/>
  <c r="R736" i="1"/>
  <c r="R732" i="1"/>
  <c r="J317" i="1"/>
  <c r="J305" i="1"/>
  <c r="J293" i="1"/>
  <c r="J281" i="1"/>
  <c r="J269" i="1"/>
  <c r="J257" i="1"/>
  <c r="J245" i="1"/>
  <c r="J233" i="1"/>
  <c r="J221" i="1"/>
  <c r="J209" i="1"/>
  <c r="J197" i="1"/>
  <c r="J185" i="1"/>
  <c r="J173" i="1"/>
  <c r="J161" i="1"/>
  <c r="J149" i="1"/>
  <c r="J137" i="1"/>
  <c r="J125" i="1"/>
  <c r="J113" i="1"/>
  <c r="J101" i="1"/>
  <c r="J89" i="1"/>
  <c r="J77" i="1"/>
  <c r="J65" i="1"/>
  <c r="J53" i="1"/>
  <c r="J41" i="1"/>
  <c r="J29" i="1"/>
  <c r="J17" i="1"/>
  <c r="R777" i="1"/>
  <c r="R773" i="1"/>
  <c r="R769" i="1"/>
  <c r="R765" i="1"/>
  <c r="R761" i="1"/>
  <c r="R757" i="1"/>
  <c r="R753" i="1"/>
  <c r="R749" i="1"/>
  <c r="R745" i="1"/>
  <c r="R741" i="1"/>
  <c r="R737" i="1"/>
  <c r="R733" i="1"/>
  <c r="R729" i="1"/>
  <c r="R725" i="1"/>
  <c r="R721" i="1"/>
  <c r="R717" i="1"/>
  <c r="R713" i="1"/>
  <c r="R709" i="1"/>
  <c r="R705" i="1"/>
  <c r="R701" i="1"/>
  <c r="R697" i="1"/>
  <c r="R693" i="1"/>
  <c r="R689" i="1"/>
  <c r="R685" i="1"/>
  <c r="R681" i="1"/>
  <c r="R677" i="1"/>
  <c r="R673" i="1"/>
  <c r="R669" i="1"/>
  <c r="R728" i="1"/>
  <c r="R724" i="1"/>
  <c r="R720" i="1"/>
  <c r="R716" i="1"/>
  <c r="R712" i="1"/>
  <c r="R708" i="1"/>
  <c r="R704" i="1"/>
  <c r="R700" i="1"/>
  <c r="R696" i="1"/>
  <c r="R692" i="1"/>
  <c r="R688" i="1"/>
  <c r="R684" i="1"/>
  <c r="R680" i="1"/>
  <c r="R676" i="1"/>
  <c r="R672" i="1"/>
  <c r="R668" i="1"/>
  <c r="R664" i="1"/>
  <c r="R660" i="1"/>
  <c r="R656" i="1"/>
  <c r="R652" i="1"/>
  <c r="R648" i="1"/>
  <c r="R644" i="1"/>
  <c r="R640" i="1"/>
  <c r="R636" i="1"/>
  <c r="R632" i="1"/>
  <c r="R628" i="1"/>
  <c r="R624" i="1"/>
  <c r="R620" i="1"/>
  <c r="R616" i="1"/>
  <c r="R612" i="1"/>
  <c r="R608" i="1"/>
  <c r="R604" i="1"/>
  <c r="R600" i="1"/>
  <c r="R596" i="1"/>
  <c r="R592" i="1"/>
  <c r="R588" i="1"/>
  <c r="R584" i="1"/>
  <c r="R580" i="1"/>
  <c r="R576" i="1"/>
  <c r="R572" i="1"/>
  <c r="R568" i="1"/>
  <c r="R564" i="1"/>
  <c r="R560" i="1"/>
  <c r="R556" i="1"/>
  <c r="R552" i="1"/>
  <c r="R548" i="1"/>
  <c r="R544" i="1"/>
  <c r="R540" i="1"/>
  <c r="R536" i="1"/>
  <c r="R532" i="1"/>
  <c r="R528" i="1"/>
  <c r="R524" i="1"/>
  <c r="R520" i="1"/>
  <c r="R516" i="1"/>
  <c r="R512" i="1"/>
  <c r="R508" i="1"/>
  <c r="R504" i="1"/>
  <c r="R500" i="1"/>
  <c r="R496" i="1"/>
  <c r="R492" i="1"/>
  <c r="R488" i="1"/>
  <c r="R160" i="1"/>
  <c r="R156" i="1"/>
  <c r="R152" i="1"/>
  <c r="R144" i="1"/>
  <c r="R140" i="1"/>
  <c r="R136" i="1"/>
  <c r="R132" i="1"/>
  <c r="R128" i="1"/>
  <c r="R124" i="1"/>
  <c r="R120" i="1"/>
  <c r="R116" i="1"/>
  <c r="R112" i="1"/>
  <c r="R108" i="1"/>
  <c r="R104" i="1"/>
  <c r="R100" i="1"/>
  <c r="R96" i="1"/>
  <c r="R92" i="1"/>
  <c r="R88" i="1"/>
  <c r="R84" i="1"/>
  <c r="R80" i="1"/>
  <c r="R76" i="1"/>
  <c r="R72" i="1"/>
  <c r="R68" i="1"/>
  <c r="R64" i="1"/>
  <c r="R34" i="1"/>
  <c r="R30" i="1"/>
  <c r="R26" i="1"/>
  <c r="R22" i="1"/>
  <c r="P538" i="1"/>
  <c r="P534" i="1"/>
  <c r="P530" i="1"/>
  <c r="P526" i="1"/>
  <c r="P522" i="1"/>
  <c r="P518" i="1"/>
  <c r="P514" i="1"/>
  <c r="P510" i="1"/>
  <c r="P506" i="1"/>
  <c r="P502" i="1"/>
  <c r="P498" i="1"/>
  <c r="P494" i="1"/>
  <c r="P490" i="1"/>
  <c r="P486" i="1"/>
  <c r="P482" i="1"/>
  <c r="P478" i="1"/>
  <c r="P474" i="1"/>
  <c r="P470" i="1"/>
  <c r="P466" i="1"/>
  <c r="P462" i="1"/>
  <c r="P458" i="1"/>
  <c r="P454" i="1"/>
  <c r="P450" i="1"/>
  <c r="P446" i="1"/>
  <c r="P442" i="1"/>
  <c r="P438" i="1"/>
  <c r="P434" i="1"/>
  <c r="P430" i="1"/>
  <c r="P426" i="1"/>
  <c r="P422" i="1"/>
  <c r="P418" i="1"/>
  <c r="P414" i="1"/>
  <c r="P410" i="1"/>
  <c r="P406" i="1"/>
  <c r="P402" i="1"/>
  <c r="P398" i="1"/>
  <c r="P394" i="1"/>
  <c r="P390" i="1"/>
  <c r="P386" i="1"/>
  <c r="P382" i="1"/>
  <c r="P378" i="1"/>
  <c r="P374" i="1"/>
  <c r="P370" i="1"/>
  <c r="P366" i="1"/>
  <c r="P362" i="1"/>
  <c r="J818" i="1"/>
  <c r="J806" i="1"/>
  <c r="J794" i="1"/>
  <c r="J782" i="1"/>
  <c r="J770" i="1"/>
  <c r="J758" i="1"/>
  <c r="J746" i="1"/>
  <c r="J734" i="1"/>
  <c r="J722" i="1"/>
  <c r="J710" i="1"/>
  <c r="J698" i="1"/>
  <c r="J686" i="1"/>
  <c r="J674" i="1"/>
  <c r="J662" i="1"/>
  <c r="J650" i="1"/>
  <c r="J638" i="1"/>
  <c r="J626" i="1"/>
  <c r="J614" i="1"/>
  <c r="J602" i="1"/>
  <c r="J590" i="1"/>
  <c r="J578" i="1"/>
  <c r="J566" i="1"/>
  <c r="J542" i="1"/>
  <c r="J530" i="1"/>
  <c r="J518" i="1"/>
  <c r="J506" i="1"/>
  <c r="J494" i="1"/>
  <c r="J482" i="1"/>
  <c r="J470" i="1"/>
  <c r="J458" i="1"/>
  <c r="J446" i="1"/>
  <c r="J434" i="1"/>
  <c r="J422" i="1"/>
  <c r="J410" i="1"/>
  <c r="J398" i="1"/>
  <c r="J386" i="1"/>
  <c r="J374" i="1"/>
  <c r="J362" i="1"/>
  <c r="J350" i="1"/>
  <c r="J338" i="1"/>
  <c r="J326" i="1"/>
  <c r="J314" i="1"/>
  <c r="J302" i="1"/>
  <c r="J290" i="1"/>
  <c r="J278" i="1"/>
  <c r="J266" i="1"/>
  <c r="J254" i="1"/>
  <c r="J242" i="1"/>
  <c r="J230" i="1"/>
  <c r="J218" i="1"/>
  <c r="J206" i="1"/>
  <c r="J194" i="1"/>
  <c r="J182" i="1"/>
  <c r="J170" i="1"/>
  <c r="J158" i="1"/>
  <c r="J146" i="1"/>
  <c r="J134" i="1"/>
  <c r="J122" i="1"/>
  <c r="J110" i="1"/>
  <c r="J98" i="1"/>
  <c r="J86" i="1"/>
  <c r="J74" i="1"/>
  <c r="J62" i="1"/>
  <c r="J50" i="1"/>
  <c r="J38" i="1"/>
  <c r="J26" i="1"/>
  <c r="J14" i="1"/>
  <c r="J554" i="1"/>
  <c r="P821" i="1"/>
  <c r="P817" i="1"/>
  <c r="P813" i="1"/>
  <c r="P809" i="1"/>
  <c r="P805" i="1"/>
  <c r="P801" i="1"/>
  <c r="P797" i="1"/>
  <c r="P793" i="1"/>
  <c r="P789" i="1"/>
  <c r="P785" i="1"/>
  <c r="P781" i="1"/>
  <c r="P777" i="1"/>
  <c r="P773" i="1"/>
  <c r="P769" i="1"/>
  <c r="P765" i="1"/>
  <c r="P761" i="1"/>
  <c r="P757" i="1"/>
  <c r="P753" i="1"/>
  <c r="P749" i="1"/>
  <c r="P745" i="1"/>
  <c r="P741" i="1"/>
  <c r="P737" i="1"/>
  <c r="P733" i="1"/>
  <c r="P729" i="1"/>
  <c r="P725" i="1"/>
  <c r="P721" i="1"/>
  <c r="P717" i="1"/>
  <c r="P713" i="1"/>
  <c r="P709" i="1"/>
  <c r="P705" i="1"/>
  <c r="P701" i="1"/>
  <c r="P697" i="1"/>
  <c r="P693" i="1"/>
  <c r="P689" i="1"/>
  <c r="P685" i="1"/>
  <c r="P681" i="1"/>
  <c r="P677" i="1"/>
  <c r="P673" i="1"/>
  <c r="P669" i="1"/>
  <c r="P665" i="1"/>
  <c r="P661" i="1"/>
  <c r="P358" i="1"/>
  <c r="P354" i="1"/>
  <c r="P350" i="1"/>
  <c r="P346" i="1"/>
  <c r="P342" i="1"/>
  <c r="P338" i="1"/>
  <c r="P334" i="1"/>
  <c r="P330" i="1"/>
  <c r="P326" i="1"/>
  <c r="P322" i="1"/>
  <c r="P318" i="1"/>
  <c r="P314" i="1"/>
  <c r="P310" i="1"/>
  <c r="P306" i="1"/>
  <c r="P302" i="1"/>
  <c r="P298" i="1"/>
  <c r="P294" i="1"/>
  <c r="P290" i="1"/>
  <c r="P286" i="1"/>
  <c r="P282" i="1"/>
  <c r="P278" i="1"/>
  <c r="P274" i="1"/>
  <c r="P270" i="1"/>
  <c r="P266" i="1"/>
  <c r="P262" i="1"/>
  <c r="P258" i="1"/>
  <c r="P254" i="1"/>
  <c r="P250" i="1"/>
  <c r="P246" i="1"/>
  <c r="P242" i="1"/>
  <c r="P238" i="1"/>
  <c r="P234" i="1"/>
  <c r="P230" i="1"/>
  <c r="P226" i="1"/>
  <c r="P222" i="1"/>
  <c r="P218" i="1"/>
  <c r="P214" i="1"/>
  <c r="P210" i="1"/>
  <c r="P206" i="1"/>
  <c r="P202" i="1"/>
  <c r="P198" i="1"/>
  <c r="P194" i="1"/>
  <c r="P190" i="1"/>
  <c r="P186" i="1"/>
  <c r="P182" i="1"/>
  <c r="P178" i="1"/>
  <c r="P174" i="1"/>
  <c r="P170" i="1"/>
  <c r="P166" i="1"/>
  <c r="P162" i="1"/>
  <c r="P158" i="1"/>
  <c r="P154" i="1"/>
  <c r="P150" i="1"/>
  <c r="P146" i="1"/>
  <c r="P142" i="1"/>
  <c r="P138" i="1"/>
  <c r="P134" i="1"/>
  <c r="P130" i="1"/>
  <c r="P126" i="1"/>
  <c r="P122" i="1"/>
  <c r="P118" i="1"/>
  <c r="P114" i="1"/>
  <c r="P110" i="1"/>
  <c r="P106" i="1"/>
  <c r="P102" i="1"/>
  <c r="P98" i="1"/>
  <c r="P94" i="1"/>
  <c r="P90" i="1"/>
  <c r="P86" i="1"/>
  <c r="P82" i="1"/>
  <c r="P78" i="1"/>
  <c r="P74" i="1"/>
  <c r="P70" i="1"/>
  <c r="P66" i="1"/>
  <c r="P62" i="1"/>
  <c r="P58" i="1"/>
  <c r="P54" i="1"/>
  <c r="P50" i="1"/>
  <c r="P46" i="1"/>
  <c r="P42" i="1"/>
  <c r="P38" i="1"/>
  <c r="P34" i="1"/>
  <c r="P30" i="1"/>
  <c r="P26" i="1"/>
  <c r="P22" i="1"/>
  <c r="R665" i="1"/>
  <c r="R661" i="1"/>
  <c r="R657" i="1"/>
  <c r="R653" i="1"/>
  <c r="R649" i="1"/>
  <c r="R645" i="1"/>
  <c r="R641" i="1"/>
  <c r="R637" i="1"/>
  <c r="R633" i="1"/>
  <c r="P401" i="1"/>
  <c r="P397" i="1"/>
  <c r="P349" i="1"/>
  <c r="P345" i="1"/>
  <c r="P341" i="1"/>
  <c r="P337" i="1"/>
  <c r="P333" i="1"/>
  <c r="P329" i="1"/>
  <c r="P285" i="1"/>
  <c r="P281" i="1"/>
  <c r="P277" i="1"/>
  <c r="P273" i="1"/>
  <c r="P269" i="1"/>
  <c r="P265" i="1"/>
  <c r="P261" i="1"/>
  <c r="P257" i="1"/>
  <c r="P253" i="1"/>
  <c r="P249" i="1"/>
  <c r="P245" i="1"/>
  <c r="P241" i="1"/>
  <c r="P237" i="1"/>
  <c r="P233" i="1"/>
  <c r="P229" i="1"/>
  <c r="P225" i="1"/>
  <c r="P217" i="1"/>
  <c r="P213" i="1"/>
  <c r="P81" i="1"/>
  <c r="R60" i="1"/>
  <c r="R56" i="1"/>
  <c r="R52" i="1"/>
  <c r="R48" i="1"/>
  <c r="R44" i="1"/>
  <c r="R40" i="1"/>
  <c r="R36" i="1"/>
  <c r="R32" i="1"/>
  <c r="R28" i="1"/>
  <c r="R24" i="1"/>
  <c r="R20" i="1"/>
  <c r="R16" i="1"/>
  <c r="R12" i="1"/>
  <c r="J815" i="1"/>
  <c r="J803" i="1"/>
  <c r="J791" i="1"/>
  <c r="J779" i="1"/>
  <c r="J767" i="1"/>
  <c r="J755" i="1"/>
  <c r="J743" i="1"/>
  <c r="J731" i="1"/>
  <c r="J719" i="1"/>
  <c r="J707" i="1"/>
  <c r="J695" i="1"/>
  <c r="J683" i="1"/>
  <c r="J671" i="1"/>
  <c r="J659" i="1"/>
  <c r="J647" i="1"/>
  <c r="J635" i="1"/>
  <c r="J623" i="1"/>
  <c r="J611" i="1"/>
  <c r="J599" i="1"/>
  <c r="J587" i="1"/>
  <c r="J575" i="1"/>
  <c r="J563" i="1"/>
  <c r="J551" i="1"/>
  <c r="J539" i="1"/>
  <c r="J527" i="1"/>
  <c r="J515" i="1"/>
  <c r="J503" i="1"/>
  <c r="J491" i="1"/>
  <c r="J479" i="1"/>
  <c r="J467" i="1"/>
  <c r="J455" i="1"/>
  <c r="J443" i="1"/>
  <c r="J431" i="1"/>
  <c r="J419" i="1"/>
  <c r="J407" i="1"/>
  <c r="J395" i="1"/>
  <c r="J383" i="1"/>
  <c r="J371" i="1"/>
  <c r="J359" i="1"/>
  <c r="J347" i="1"/>
  <c r="J335" i="1"/>
  <c r="J323" i="1"/>
  <c r="J311" i="1"/>
  <c r="J299" i="1"/>
  <c r="J287" i="1"/>
  <c r="J275" i="1"/>
  <c r="J263" i="1"/>
  <c r="J251" i="1"/>
  <c r="J239" i="1"/>
  <c r="J227" i="1"/>
  <c r="J215" i="1"/>
  <c r="J203" i="1"/>
  <c r="J191" i="1"/>
  <c r="J179" i="1"/>
  <c r="J167" i="1"/>
  <c r="J155" i="1"/>
  <c r="J143" i="1"/>
  <c r="J131" i="1"/>
  <c r="J119" i="1"/>
  <c r="J107" i="1"/>
  <c r="J95" i="1"/>
  <c r="J83" i="1"/>
  <c r="J71" i="1"/>
  <c r="J59" i="1"/>
  <c r="J47" i="1"/>
  <c r="J35" i="1"/>
  <c r="J23" i="1"/>
  <c r="Q800" i="1"/>
  <c r="J802" i="1"/>
  <c r="J778" i="1"/>
  <c r="J574" i="1"/>
  <c r="J370" i="1"/>
  <c r="J142" i="1"/>
  <c r="Q575" i="1"/>
  <c r="Q571" i="1"/>
  <c r="Q567" i="1"/>
  <c r="Q563" i="1"/>
  <c r="Q559" i="1"/>
  <c r="Q555" i="1"/>
  <c r="Q551" i="1"/>
  <c r="Q547" i="1"/>
  <c r="Q543" i="1"/>
  <c r="Q539" i="1"/>
  <c r="Q535" i="1"/>
  <c r="Q531" i="1"/>
  <c r="Q527" i="1"/>
  <c r="Q523" i="1"/>
  <c r="Q519" i="1"/>
  <c r="Q515" i="1"/>
  <c r="Q511" i="1"/>
  <c r="Q507" i="1"/>
  <c r="Q503" i="1"/>
  <c r="Q499" i="1"/>
  <c r="Q495" i="1"/>
  <c r="Q491" i="1"/>
  <c r="Q487" i="1"/>
  <c r="Q483" i="1"/>
  <c r="Q479" i="1"/>
  <c r="Q475" i="1"/>
  <c r="Q471" i="1"/>
  <c r="Q467" i="1"/>
  <c r="Q463" i="1"/>
  <c r="Q459" i="1"/>
  <c r="Q455" i="1"/>
  <c r="Q451" i="1"/>
  <c r="Q447" i="1"/>
  <c r="Q443" i="1"/>
  <c r="Q439" i="1"/>
  <c r="Q435" i="1"/>
  <c r="Q431" i="1"/>
  <c r="Q427" i="1"/>
  <c r="Q423" i="1"/>
  <c r="Q419" i="1"/>
  <c r="Q415" i="1"/>
  <c r="Q411" i="1"/>
  <c r="Q407" i="1"/>
  <c r="Q403" i="1"/>
  <c r="Q399" i="1"/>
  <c r="Q395" i="1"/>
  <c r="Q391" i="1"/>
  <c r="Q387" i="1"/>
  <c r="Q383" i="1"/>
  <c r="Q379" i="1"/>
  <c r="Q375" i="1"/>
  <c r="Q371" i="1"/>
  <c r="P657" i="1"/>
  <c r="P653" i="1"/>
  <c r="P649" i="1"/>
  <c r="P645" i="1"/>
  <c r="P641" i="1"/>
  <c r="P637" i="1"/>
  <c r="P633" i="1"/>
  <c r="P629" i="1"/>
  <c r="P625" i="1"/>
  <c r="P621" i="1"/>
  <c r="P617" i="1"/>
  <c r="P613" i="1"/>
  <c r="P609" i="1"/>
  <c r="P605" i="1"/>
  <c r="P601" i="1"/>
  <c r="P597" i="1"/>
  <c r="P593" i="1"/>
  <c r="P589" i="1"/>
  <c r="P585" i="1"/>
  <c r="P581" i="1"/>
  <c r="P457" i="1"/>
  <c r="P453" i="1"/>
  <c r="P449" i="1"/>
  <c r="P445" i="1"/>
  <c r="P441" i="1"/>
  <c r="P437" i="1"/>
  <c r="P433" i="1"/>
  <c r="P429" i="1"/>
  <c r="P425" i="1"/>
  <c r="P421" i="1"/>
  <c r="P417" i="1"/>
  <c r="P413" i="1"/>
  <c r="P409" i="1"/>
  <c r="P405" i="1"/>
  <c r="Q367" i="1"/>
  <c r="Q363" i="1"/>
  <c r="Q359" i="1"/>
  <c r="Q355" i="1"/>
  <c r="Q351" i="1"/>
  <c r="Q347" i="1"/>
  <c r="Q343" i="1"/>
  <c r="Q339" i="1"/>
  <c r="Q335" i="1"/>
  <c r="Q331" i="1"/>
  <c r="Q327" i="1"/>
  <c r="Q323" i="1"/>
  <c r="Q319" i="1"/>
  <c r="Q315" i="1"/>
  <c r="Q311" i="1"/>
  <c r="Q307" i="1"/>
  <c r="Q303" i="1"/>
  <c r="Q299" i="1"/>
  <c r="Q295" i="1"/>
  <c r="Q291" i="1"/>
  <c r="Q287" i="1"/>
  <c r="Q283" i="1"/>
  <c r="Q279" i="1"/>
  <c r="Q275" i="1"/>
  <c r="Q271" i="1"/>
  <c r="Q267" i="1"/>
  <c r="Q263" i="1"/>
  <c r="Q259" i="1"/>
  <c r="Q255" i="1"/>
  <c r="Q251" i="1"/>
  <c r="Q247" i="1"/>
  <c r="Q243" i="1"/>
  <c r="Q239" i="1"/>
  <c r="Q235" i="1"/>
  <c r="Q231" i="1"/>
  <c r="Q227" i="1"/>
  <c r="Q223" i="1"/>
  <c r="Q219" i="1"/>
  <c r="Q215" i="1"/>
  <c r="Q211" i="1"/>
  <c r="Q207" i="1"/>
  <c r="Q203" i="1"/>
  <c r="Q199" i="1"/>
  <c r="Q195" i="1"/>
  <c r="Q191" i="1"/>
  <c r="Q187" i="1"/>
  <c r="Q183" i="1"/>
  <c r="Q179" i="1"/>
  <c r="Q175" i="1"/>
  <c r="Q171" i="1"/>
  <c r="Q167" i="1"/>
  <c r="Q163" i="1"/>
  <c r="Q159" i="1"/>
  <c r="Q155" i="1"/>
  <c r="Q151" i="1"/>
  <c r="Q147" i="1"/>
  <c r="Q143" i="1"/>
  <c r="Q139" i="1"/>
  <c r="Q135" i="1"/>
  <c r="Q131" i="1"/>
  <c r="Q127" i="1"/>
  <c r="Q123" i="1"/>
  <c r="Q119" i="1"/>
  <c r="Q115" i="1"/>
  <c r="Q111" i="1"/>
  <c r="Q107" i="1"/>
  <c r="Q103" i="1"/>
  <c r="Q99" i="1"/>
  <c r="Q95" i="1"/>
  <c r="Q91" i="1"/>
  <c r="Q87" i="1"/>
  <c r="Q83" i="1"/>
  <c r="Q79" i="1"/>
  <c r="Q75" i="1"/>
  <c r="Q71" i="1"/>
  <c r="Q67" i="1"/>
  <c r="Q63" i="1"/>
  <c r="Q59" i="1"/>
  <c r="Q55" i="1"/>
  <c r="Q51" i="1"/>
  <c r="Q47" i="1"/>
  <c r="Q43" i="1"/>
  <c r="Q39" i="1"/>
  <c r="Q35" i="1"/>
  <c r="Q31" i="1"/>
  <c r="P18" i="1"/>
  <c r="R629" i="1"/>
  <c r="R625" i="1"/>
  <c r="R621" i="1"/>
  <c r="R617" i="1"/>
  <c r="R613" i="1"/>
  <c r="R609" i="1"/>
  <c r="R605" i="1"/>
  <c r="R601" i="1"/>
  <c r="R597" i="1"/>
  <c r="R593" i="1"/>
  <c r="R589" i="1"/>
  <c r="R585" i="1"/>
  <c r="R581" i="1"/>
  <c r="R577" i="1"/>
  <c r="R573" i="1"/>
  <c r="R569" i="1"/>
  <c r="R565" i="1"/>
  <c r="R561" i="1"/>
  <c r="R557" i="1"/>
  <c r="R553" i="1"/>
  <c r="R549" i="1"/>
  <c r="R545" i="1"/>
  <c r="R541" i="1"/>
  <c r="R537" i="1"/>
  <c r="R533" i="1"/>
  <c r="R529" i="1"/>
  <c r="R525" i="1"/>
  <c r="R521" i="1"/>
  <c r="R517" i="1"/>
  <c r="R513" i="1"/>
  <c r="R509" i="1"/>
  <c r="R505" i="1"/>
  <c r="R501" i="1"/>
  <c r="R497" i="1"/>
  <c r="R493" i="1"/>
  <c r="R489" i="1"/>
  <c r="R485" i="1"/>
  <c r="R481" i="1"/>
  <c r="R477" i="1"/>
  <c r="R473" i="1"/>
  <c r="R469" i="1"/>
  <c r="R465" i="1"/>
  <c r="R461" i="1"/>
  <c r="R457" i="1"/>
  <c r="R453" i="1"/>
  <c r="R449" i="1"/>
  <c r="R445" i="1"/>
  <c r="R441" i="1"/>
  <c r="R437" i="1"/>
  <c r="R433" i="1"/>
  <c r="R429" i="1"/>
  <c r="R425" i="1"/>
  <c r="R421" i="1"/>
  <c r="R417" i="1"/>
  <c r="R413" i="1"/>
  <c r="R409" i="1"/>
  <c r="R405" i="1"/>
  <c r="R401" i="1"/>
  <c r="R397" i="1"/>
  <c r="R393" i="1"/>
  <c r="R389" i="1"/>
  <c r="R385" i="1"/>
  <c r="R381" i="1"/>
  <c r="P393" i="1"/>
  <c r="P389" i="1"/>
  <c r="P385" i="1"/>
  <c r="P381" i="1"/>
  <c r="P377" i="1"/>
  <c r="P373" i="1"/>
  <c r="P369" i="1"/>
  <c r="P365" i="1"/>
  <c r="P361" i="1"/>
  <c r="P357" i="1"/>
  <c r="P353" i="1"/>
  <c r="P325" i="1"/>
  <c r="P321" i="1"/>
  <c r="P317" i="1"/>
  <c r="P313" i="1"/>
  <c r="P309" i="1"/>
  <c r="P305" i="1"/>
  <c r="P301" i="1"/>
  <c r="P297" i="1"/>
  <c r="P293" i="1"/>
  <c r="P289" i="1"/>
  <c r="P221" i="1"/>
  <c r="P209" i="1"/>
  <c r="P205" i="1"/>
  <c r="P201" i="1"/>
  <c r="P197" i="1"/>
  <c r="P193" i="1"/>
  <c r="P189" i="1"/>
  <c r="P185" i="1"/>
  <c r="P181" i="1"/>
  <c r="P177" i="1"/>
  <c r="P173" i="1"/>
  <c r="P169" i="1"/>
  <c r="P165" i="1"/>
  <c r="P161" i="1"/>
  <c r="P157" i="1"/>
  <c r="P153" i="1"/>
  <c r="P149" i="1"/>
  <c r="P145" i="1"/>
  <c r="P141" i="1"/>
  <c r="P137" i="1"/>
  <c r="P133" i="1"/>
  <c r="P129" i="1"/>
  <c r="P125" i="1"/>
  <c r="P121" i="1"/>
  <c r="P117" i="1"/>
  <c r="P113" i="1"/>
  <c r="P109" i="1"/>
  <c r="P93" i="1"/>
  <c r="P61" i="1"/>
  <c r="P29" i="1"/>
  <c r="J823" i="1"/>
  <c r="J811" i="1"/>
  <c r="J799" i="1"/>
  <c r="J787" i="1"/>
  <c r="J775" i="1"/>
  <c r="J763" i="1"/>
  <c r="J751" i="1"/>
  <c r="J739" i="1"/>
  <c r="J727" i="1"/>
  <c r="J715" i="1"/>
  <c r="J703" i="1"/>
  <c r="J691" i="1"/>
  <c r="J679" i="1"/>
  <c r="J667" i="1"/>
  <c r="J655" i="1"/>
  <c r="J643" i="1"/>
  <c r="J631" i="1"/>
  <c r="J619" i="1"/>
  <c r="J607" i="1"/>
  <c r="J595" i="1"/>
  <c r="J583" i="1"/>
  <c r="J571" i="1"/>
  <c r="J559" i="1"/>
  <c r="J547" i="1"/>
  <c r="J535" i="1"/>
  <c r="J523" i="1"/>
  <c r="J511" i="1"/>
  <c r="J499" i="1"/>
  <c r="J487" i="1"/>
  <c r="J475" i="1"/>
  <c r="J463" i="1"/>
  <c r="J451" i="1"/>
  <c r="J439" i="1"/>
  <c r="J427" i="1"/>
  <c r="J415" i="1"/>
  <c r="J403" i="1"/>
  <c r="J391" i="1"/>
  <c r="J379" i="1"/>
  <c r="J367" i="1"/>
  <c r="J355" i="1"/>
  <c r="J343" i="1"/>
  <c r="J331" i="1"/>
  <c r="J319" i="1"/>
  <c r="J307" i="1"/>
  <c r="J295" i="1"/>
  <c r="J283" i="1"/>
  <c r="J271" i="1"/>
  <c r="J259" i="1"/>
  <c r="J247" i="1"/>
  <c r="J235" i="1"/>
  <c r="J223" i="1"/>
  <c r="J211" i="1"/>
  <c r="J199" i="1"/>
  <c r="J187" i="1"/>
  <c r="J175" i="1"/>
  <c r="J163" i="1"/>
  <c r="J151" i="1"/>
  <c r="J139" i="1"/>
  <c r="J127" i="1"/>
  <c r="J115" i="1"/>
  <c r="J103" i="1"/>
  <c r="J91" i="1"/>
  <c r="J79" i="1"/>
  <c r="J67" i="1"/>
  <c r="J55" i="1"/>
  <c r="J43" i="1"/>
  <c r="J31" i="1"/>
  <c r="J19" i="1"/>
  <c r="P824" i="1"/>
  <c r="P820" i="1"/>
  <c r="J822" i="1"/>
  <c r="J810" i="1"/>
  <c r="J798" i="1"/>
  <c r="J786" i="1"/>
  <c r="J774" i="1"/>
  <c r="J762" i="1"/>
  <c r="J750" i="1"/>
  <c r="J738" i="1"/>
  <c r="J726" i="1"/>
  <c r="J714" i="1"/>
  <c r="J702" i="1"/>
  <c r="J690" i="1"/>
  <c r="J678" i="1"/>
  <c r="J666" i="1"/>
  <c r="J654" i="1"/>
  <c r="J642" i="1"/>
  <c r="J630" i="1"/>
  <c r="J618" i="1"/>
  <c r="J606" i="1"/>
  <c r="J594" i="1"/>
  <c r="J582" i="1"/>
  <c r="J570" i="1"/>
  <c r="J558" i="1"/>
  <c r="J546" i="1"/>
  <c r="J534" i="1"/>
  <c r="J522" i="1"/>
  <c r="J510" i="1"/>
  <c r="J498" i="1"/>
  <c r="J486" i="1"/>
  <c r="J474" i="1"/>
  <c r="J462" i="1"/>
  <c r="J450" i="1"/>
  <c r="J438" i="1"/>
  <c r="J426" i="1"/>
  <c r="J414" i="1"/>
  <c r="J402" i="1"/>
  <c r="J390" i="1"/>
  <c r="J378" i="1"/>
  <c r="J366" i="1"/>
  <c r="J354" i="1"/>
  <c r="J342" i="1"/>
  <c r="J330" i="1"/>
  <c r="J318" i="1"/>
  <c r="J306" i="1"/>
  <c r="J294" i="1"/>
  <c r="J282" i="1"/>
  <c r="J270" i="1"/>
  <c r="J258" i="1"/>
  <c r="J246" i="1"/>
  <c r="J234" i="1"/>
  <c r="J222" i="1"/>
  <c r="J210" i="1"/>
  <c r="J198" i="1"/>
  <c r="J186" i="1"/>
  <c r="J174" i="1"/>
  <c r="J162" i="1"/>
  <c r="J150" i="1"/>
  <c r="J138" i="1"/>
  <c r="J126" i="1"/>
  <c r="J114" i="1"/>
  <c r="J102" i="1"/>
  <c r="J90" i="1"/>
  <c r="J78" i="1"/>
  <c r="J66" i="1"/>
  <c r="J54" i="1"/>
  <c r="J42" i="1"/>
  <c r="J30" i="1"/>
  <c r="J18" i="1"/>
  <c r="R823" i="1"/>
  <c r="R819" i="1"/>
  <c r="R579" i="1"/>
  <c r="R563" i="1"/>
  <c r="R495" i="1"/>
  <c r="R491" i="1"/>
  <c r="R487" i="1"/>
  <c r="R483" i="1"/>
  <c r="R479" i="1"/>
  <c r="R475" i="1"/>
  <c r="R471" i="1"/>
  <c r="R467" i="1"/>
  <c r="R463" i="1"/>
  <c r="R459" i="1"/>
  <c r="R455" i="1"/>
  <c r="R451" i="1"/>
  <c r="R447" i="1"/>
  <c r="R443" i="1"/>
  <c r="R439" i="1"/>
  <c r="R435" i="1"/>
  <c r="R431" i="1"/>
  <c r="R427" i="1"/>
  <c r="R423" i="1"/>
  <c r="R419" i="1"/>
  <c r="R415" i="1"/>
  <c r="R411" i="1"/>
  <c r="R407" i="1"/>
  <c r="R403" i="1"/>
  <c r="R399" i="1"/>
  <c r="R395" i="1"/>
  <c r="R391" i="1"/>
  <c r="R387" i="1"/>
  <c r="R383" i="1"/>
  <c r="R379" i="1"/>
  <c r="R375" i="1"/>
  <c r="R371" i="1"/>
  <c r="R367" i="1"/>
  <c r="R363" i="1"/>
  <c r="R359" i="1"/>
  <c r="R355" i="1"/>
  <c r="Q823" i="1"/>
  <c r="Q819" i="1"/>
  <c r="Q815" i="1"/>
  <c r="Q811" i="1"/>
  <c r="Q807" i="1"/>
  <c r="Q803" i="1"/>
  <c r="Q799" i="1"/>
  <c r="Q795" i="1"/>
  <c r="Q791" i="1"/>
  <c r="Q787" i="1"/>
  <c r="Q783" i="1"/>
  <c r="Q779" i="1"/>
  <c r="Q775" i="1"/>
  <c r="Q771" i="1"/>
  <c r="Q767" i="1"/>
  <c r="Q763" i="1"/>
  <c r="Q759" i="1"/>
  <c r="Q755" i="1"/>
  <c r="Q751" i="1"/>
  <c r="Q747" i="1"/>
  <c r="Q743" i="1"/>
  <c r="Q739" i="1"/>
  <c r="Q735" i="1"/>
  <c r="Q731" i="1"/>
  <c r="Q727" i="1"/>
  <c r="Q723" i="1"/>
  <c r="Q719" i="1"/>
  <c r="J820" i="1"/>
  <c r="J808" i="1"/>
  <c r="J796" i="1"/>
  <c r="J784" i="1"/>
  <c r="J772" i="1"/>
  <c r="J760" i="1"/>
  <c r="J748" i="1"/>
  <c r="J736" i="1"/>
  <c r="J724" i="1"/>
  <c r="J712" i="1"/>
  <c r="J700" i="1"/>
  <c r="J688" i="1"/>
  <c r="J676" i="1"/>
  <c r="J664" i="1"/>
  <c r="J652" i="1"/>
  <c r="J640" i="1"/>
  <c r="J628" i="1"/>
  <c r="J616" i="1"/>
  <c r="J604" i="1"/>
  <c r="J592" i="1"/>
  <c r="J580" i="1"/>
  <c r="J568" i="1"/>
  <c r="J556" i="1"/>
  <c r="J544" i="1"/>
  <c r="J532" i="1"/>
  <c r="J520" i="1"/>
  <c r="J508" i="1"/>
  <c r="J496" i="1"/>
  <c r="J484" i="1"/>
  <c r="J472" i="1"/>
  <c r="J460" i="1"/>
  <c r="J448" i="1"/>
  <c r="J436" i="1"/>
  <c r="J424" i="1"/>
  <c r="J412" i="1"/>
  <c r="J400" i="1"/>
  <c r="J388" i="1"/>
  <c r="J376" i="1"/>
  <c r="J364" i="1"/>
  <c r="J352" i="1"/>
  <c r="J340" i="1"/>
  <c r="J328" i="1"/>
  <c r="J316" i="1"/>
  <c r="J304" i="1"/>
  <c r="J292" i="1"/>
  <c r="J280" i="1"/>
  <c r="J268" i="1"/>
  <c r="J256" i="1"/>
  <c r="J244" i="1"/>
  <c r="J232" i="1"/>
  <c r="J220" i="1"/>
  <c r="J208" i="1"/>
  <c r="J819" i="1"/>
  <c r="J807" i="1"/>
  <c r="J795" i="1"/>
  <c r="J783" i="1"/>
  <c r="J771" i="1"/>
  <c r="J759" i="1"/>
  <c r="J747" i="1"/>
  <c r="J735" i="1"/>
  <c r="J723" i="1"/>
  <c r="J711" i="1"/>
  <c r="J699" i="1"/>
  <c r="J687" i="1"/>
  <c r="J675" i="1"/>
  <c r="J663" i="1"/>
  <c r="J651" i="1"/>
  <c r="J639" i="1"/>
  <c r="J627" i="1"/>
  <c r="J615" i="1"/>
  <c r="J603" i="1"/>
  <c r="J591" i="1"/>
  <c r="J579" i="1"/>
  <c r="J567" i="1"/>
  <c r="J555" i="1"/>
  <c r="J543" i="1"/>
  <c r="J531" i="1"/>
  <c r="J519" i="1"/>
  <c r="J507" i="1"/>
  <c r="J495" i="1"/>
  <c r="J483" i="1"/>
  <c r="J471" i="1"/>
  <c r="J459" i="1"/>
  <c r="J447" i="1"/>
  <c r="J817" i="1"/>
  <c r="J805" i="1"/>
  <c r="J793" i="1"/>
  <c r="J781" i="1"/>
  <c r="J769" i="1"/>
  <c r="J757" i="1"/>
  <c r="J745" i="1"/>
  <c r="J733" i="1"/>
  <c r="J721" i="1"/>
  <c r="J709" i="1"/>
  <c r="J697" i="1"/>
  <c r="J685" i="1"/>
  <c r="J673" i="1"/>
  <c r="J661" i="1"/>
  <c r="J649" i="1"/>
  <c r="J637" i="1"/>
  <c r="J625" i="1"/>
  <c r="J589" i="1"/>
  <c r="J577" i="1"/>
  <c r="J565" i="1"/>
  <c r="J553" i="1"/>
  <c r="J541" i="1"/>
  <c r="J529" i="1"/>
  <c r="J517" i="1"/>
  <c r="J505" i="1"/>
  <c r="J493" i="1"/>
  <c r="J481" i="1"/>
  <c r="J469" i="1"/>
  <c r="J457" i="1"/>
  <c r="J445" i="1"/>
  <c r="J433" i="1"/>
  <c r="J421" i="1"/>
  <c r="J409" i="1"/>
  <c r="J397" i="1"/>
  <c r="J385" i="1"/>
  <c r="J373" i="1"/>
  <c r="J361" i="1"/>
  <c r="J349" i="1"/>
  <c r="J337" i="1"/>
  <c r="J325" i="1"/>
  <c r="J313" i="1"/>
  <c r="J301" i="1"/>
  <c r="J289" i="1"/>
  <c r="J277" i="1"/>
  <c r="J265" i="1"/>
  <c r="J253" i="1"/>
  <c r="J241" i="1"/>
  <c r="J229" i="1"/>
  <c r="J217" i="1"/>
  <c r="J205" i="1"/>
  <c r="J193" i="1"/>
  <c r="J181" i="1"/>
  <c r="J169" i="1"/>
  <c r="J157" i="1"/>
  <c r="J145" i="1"/>
  <c r="J133" i="1"/>
  <c r="J121" i="1"/>
  <c r="J109" i="1"/>
  <c r="J97" i="1"/>
  <c r="J85" i="1"/>
  <c r="J73" i="1"/>
  <c r="J61" i="1"/>
  <c r="J49" i="1"/>
  <c r="J37" i="1"/>
  <c r="J25" i="1"/>
  <c r="J13" i="1"/>
  <c r="P577" i="1"/>
  <c r="P573" i="1"/>
  <c r="P569" i="1"/>
  <c r="P565" i="1"/>
  <c r="P561" i="1"/>
  <c r="P557" i="1"/>
  <c r="P553" i="1"/>
  <c r="P549" i="1"/>
  <c r="P545" i="1"/>
  <c r="P541" i="1"/>
  <c r="P537" i="1"/>
  <c r="P533" i="1"/>
  <c r="P529" i="1"/>
  <c r="P525" i="1"/>
  <c r="P521" i="1"/>
  <c r="P517" i="1"/>
  <c r="P513" i="1"/>
  <c r="P509" i="1"/>
  <c r="P505" i="1"/>
  <c r="P501" i="1"/>
  <c r="P497" i="1"/>
  <c r="P493" i="1"/>
  <c r="P489" i="1"/>
  <c r="P485" i="1"/>
  <c r="P481" i="1"/>
  <c r="P477" i="1"/>
  <c r="P473" i="1"/>
  <c r="P469" i="1"/>
  <c r="P465" i="1"/>
  <c r="P461" i="1"/>
  <c r="P816" i="1"/>
  <c r="P812" i="1"/>
  <c r="P808" i="1"/>
  <c r="P804" i="1"/>
  <c r="P800" i="1"/>
  <c r="P796" i="1"/>
  <c r="P792" i="1"/>
  <c r="P788" i="1"/>
  <c r="P784" i="1"/>
  <c r="P780" i="1"/>
  <c r="P776" i="1"/>
  <c r="P772" i="1"/>
  <c r="P768" i="1"/>
  <c r="R351" i="1"/>
  <c r="R347" i="1"/>
  <c r="R343" i="1"/>
  <c r="R339" i="1"/>
  <c r="R335" i="1"/>
  <c r="R331" i="1"/>
  <c r="R327" i="1"/>
  <c r="R323" i="1"/>
  <c r="R319" i="1"/>
  <c r="R315" i="1"/>
  <c r="R311" i="1"/>
  <c r="R307" i="1"/>
  <c r="R303" i="1"/>
  <c r="R299" i="1"/>
  <c r="R295" i="1"/>
  <c r="R291" i="1"/>
  <c r="R287" i="1"/>
  <c r="R283" i="1"/>
  <c r="R279" i="1"/>
  <c r="R275" i="1"/>
  <c r="R271" i="1"/>
  <c r="R267" i="1"/>
  <c r="R263" i="1"/>
  <c r="R259" i="1"/>
  <c r="R255" i="1"/>
  <c r="R251" i="1"/>
  <c r="R247" i="1"/>
  <c r="R243" i="1"/>
  <c r="R239" i="1"/>
  <c r="R235" i="1"/>
  <c r="R231" i="1"/>
  <c r="R227" i="1"/>
  <c r="R223" i="1"/>
  <c r="R219" i="1"/>
  <c r="R215" i="1"/>
  <c r="R211" i="1"/>
  <c r="R207" i="1"/>
  <c r="R203" i="1"/>
  <c r="R199" i="1"/>
  <c r="R195" i="1"/>
  <c r="R191" i="1"/>
  <c r="R187" i="1"/>
  <c r="R183" i="1"/>
  <c r="R179" i="1"/>
  <c r="R175" i="1"/>
  <c r="R171" i="1"/>
  <c r="R167" i="1"/>
  <c r="R163" i="1"/>
  <c r="R159" i="1"/>
  <c r="R155" i="1"/>
  <c r="R151" i="1"/>
  <c r="R147" i="1"/>
  <c r="R143" i="1"/>
  <c r="R139" i="1"/>
  <c r="R135" i="1"/>
  <c r="R131" i="1"/>
  <c r="R127" i="1"/>
  <c r="R123" i="1"/>
  <c r="R119" i="1"/>
  <c r="R115" i="1"/>
  <c r="R111" i="1"/>
  <c r="R107" i="1"/>
  <c r="R103" i="1"/>
  <c r="R99" i="1"/>
  <c r="R95" i="1"/>
  <c r="R91" i="1"/>
  <c r="R87" i="1"/>
  <c r="R83" i="1"/>
  <c r="R79" i="1"/>
  <c r="R75" i="1"/>
  <c r="R71" i="1"/>
  <c r="R67" i="1"/>
  <c r="R63" i="1"/>
  <c r="R59" i="1"/>
  <c r="R55" i="1"/>
  <c r="R51" i="1"/>
  <c r="R47" i="1"/>
  <c r="R43" i="1"/>
  <c r="R39" i="1"/>
  <c r="R35" i="1"/>
  <c r="R31" i="1"/>
  <c r="R27" i="1"/>
  <c r="R23" i="1"/>
  <c r="R19" i="1"/>
  <c r="R15" i="1"/>
  <c r="Q27" i="1"/>
  <c r="Q23" i="1"/>
  <c r="Q19" i="1"/>
  <c r="Q15" i="1"/>
  <c r="J435" i="1"/>
  <c r="J423" i="1"/>
  <c r="J411" i="1"/>
  <c r="J399" i="1"/>
  <c r="J387" i="1"/>
  <c r="J375" i="1"/>
  <c r="J363" i="1"/>
  <c r="J351" i="1"/>
  <c r="J339" i="1"/>
  <c r="J327" i="1"/>
  <c r="J315" i="1"/>
  <c r="J303" i="1"/>
  <c r="J291" i="1"/>
  <c r="J279" i="1"/>
  <c r="J267" i="1"/>
  <c r="J255" i="1"/>
  <c r="J243" i="1"/>
  <c r="J231" i="1"/>
  <c r="J219" i="1"/>
  <c r="J207" i="1"/>
  <c r="J195" i="1"/>
  <c r="J171" i="1"/>
  <c r="J147" i="1"/>
  <c r="J135" i="1"/>
  <c r="J123" i="1"/>
  <c r="J111" i="1"/>
  <c r="J99" i="1"/>
  <c r="J87" i="1"/>
  <c r="J75" i="1"/>
  <c r="J63" i="1"/>
  <c r="J51" i="1"/>
  <c r="J27" i="1"/>
  <c r="P735" i="1"/>
  <c r="P131" i="1"/>
  <c r="R18" i="1"/>
  <c r="P14" i="1"/>
  <c r="R377" i="1"/>
  <c r="R373" i="1"/>
  <c r="R369" i="1"/>
  <c r="R365" i="1"/>
  <c r="R361" i="1"/>
  <c r="R357" i="1"/>
  <c r="R353" i="1"/>
  <c r="R349" i="1"/>
  <c r="R345" i="1"/>
  <c r="R341" i="1"/>
  <c r="R337" i="1"/>
  <c r="R333" i="1"/>
  <c r="R329" i="1"/>
  <c r="R325" i="1"/>
  <c r="R321" i="1"/>
  <c r="R317" i="1"/>
  <c r="R313" i="1"/>
  <c r="R309" i="1"/>
  <c r="R305" i="1"/>
  <c r="R301" i="1"/>
  <c r="R297" i="1"/>
  <c r="R293" i="1"/>
  <c r="R289" i="1"/>
  <c r="R285" i="1"/>
  <c r="R281" i="1"/>
  <c r="R277" i="1"/>
  <c r="R273" i="1"/>
  <c r="R269" i="1"/>
  <c r="R265" i="1"/>
  <c r="R261" i="1"/>
  <c r="R257" i="1"/>
  <c r="R253" i="1"/>
  <c r="R249" i="1"/>
  <c r="R245" i="1"/>
  <c r="R241" i="1"/>
  <c r="Q13" i="1"/>
  <c r="J183" i="1"/>
  <c r="J190" i="1"/>
  <c r="J159" i="1"/>
  <c r="J166" i="1"/>
  <c r="J39" i="1"/>
  <c r="J46" i="1"/>
  <c r="J15" i="1"/>
  <c r="J22" i="1"/>
  <c r="J814" i="1"/>
  <c r="J586" i="1"/>
  <c r="J382" i="1"/>
  <c r="J154" i="1"/>
  <c r="J790" i="1"/>
  <c r="J562" i="1"/>
  <c r="J358" i="1"/>
  <c r="J816" i="1"/>
  <c r="J804" i="1"/>
  <c r="J792" i="1"/>
  <c r="J780" i="1"/>
  <c r="J768" i="1"/>
  <c r="J756" i="1"/>
  <c r="J744" i="1"/>
  <c r="J732" i="1"/>
  <c r="J720" i="1"/>
  <c r="J708" i="1"/>
  <c r="J696" i="1"/>
  <c r="J684" i="1"/>
  <c r="J672" i="1"/>
  <c r="J660" i="1"/>
  <c r="J648" i="1"/>
  <c r="J636" i="1"/>
  <c r="J624" i="1"/>
  <c r="J612" i="1"/>
  <c r="J600" i="1"/>
  <c r="J588" i="1"/>
  <c r="J576" i="1"/>
  <c r="J564" i="1"/>
  <c r="J552" i="1"/>
  <c r="J540" i="1"/>
  <c r="J528" i="1"/>
  <c r="J516" i="1"/>
  <c r="J504" i="1"/>
  <c r="J492" i="1"/>
  <c r="J480" i="1"/>
  <c r="J468" i="1"/>
  <c r="J456" i="1"/>
  <c r="J444" i="1"/>
  <c r="J432" i="1"/>
  <c r="J420" i="1"/>
  <c r="J408" i="1"/>
  <c r="J396" i="1"/>
  <c r="J384" i="1"/>
  <c r="J372" i="1"/>
  <c r="J360" i="1"/>
  <c r="J348" i="1"/>
  <c r="J336" i="1"/>
  <c r="J324" i="1"/>
  <c r="J312" i="1"/>
  <c r="J300" i="1"/>
  <c r="J288" i="1"/>
  <c r="J276" i="1"/>
  <c r="J264" i="1"/>
  <c r="J252" i="1"/>
  <c r="J240" i="1"/>
  <c r="J228" i="1"/>
  <c r="J216" i="1"/>
  <c r="J204" i="1"/>
  <c r="J192" i="1"/>
  <c r="J180" i="1"/>
  <c r="J168" i="1"/>
  <c r="J156" i="1"/>
  <c r="J144" i="1"/>
  <c r="J132" i="1"/>
  <c r="J120" i="1"/>
  <c r="J108" i="1"/>
  <c r="J96" i="1"/>
  <c r="J84" i="1"/>
  <c r="J72" i="1"/>
  <c r="J60" i="1"/>
  <c r="J48" i="1"/>
  <c r="J36" i="1"/>
  <c r="J24" i="1"/>
  <c r="J12" i="1"/>
  <c r="J550" i="1"/>
  <c r="J346" i="1"/>
  <c r="J118" i="1"/>
  <c r="J730" i="1"/>
  <c r="J526" i="1"/>
  <c r="J298" i="1"/>
  <c r="J94" i="1"/>
  <c r="P823" i="1"/>
  <c r="P819" i="1"/>
  <c r="P815" i="1"/>
  <c r="P811" i="1"/>
  <c r="J766" i="1"/>
  <c r="J754" i="1"/>
  <c r="J742" i="1"/>
  <c r="J682" i="1"/>
  <c r="J622" i="1"/>
  <c r="J610" i="1"/>
  <c r="J598" i="1"/>
  <c r="J538" i="1"/>
  <c r="J478" i="1"/>
  <c r="J466" i="1"/>
  <c r="J454" i="1"/>
  <c r="J394" i="1"/>
  <c r="J334" i="1"/>
  <c r="J322" i="1"/>
  <c r="J310" i="1"/>
  <c r="J250" i="1"/>
  <c r="J178" i="1"/>
  <c r="J106" i="1"/>
  <c r="J34" i="1"/>
  <c r="J718" i="1"/>
  <c r="J514" i="1"/>
  <c r="J286" i="1"/>
  <c r="J82" i="1"/>
  <c r="J613" i="1"/>
  <c r="J130" i="1"/>
  <c r="J813" i="1"/>
  <c r="J801" i="1"/>
  <c r="J789" i="1"/>
  <c r="J777" i="1"/>
  <c r="J765" i="1"/>
  <c r="J753" i="1"/>
  <c r="J741" i="1"/>
  <c r="J729" i="1"/>
  <c r="J717" i="1"/>
  <c r="J705" i="1"/>
  <c r="J693" i="1"/>
  <c r="J681" i="1"/>
  <c r="J669" i="1"/>
  <c r="J657" i="1"/>
  <c r="J645" i="1"/>
  <c r="J633" i="1"/>
  <c r="J621" i="1"/>
  <c r="J609" i="1"/>
  <c r="J597" i="1"/>
  <c r="J585" i="1"/>
  <c r="J573" i="1"/>
  <c r="J561" i="1"/>
  <c r="J549" i="1"/>
  <c r="J537" i="1"/>
  <c r="J525" i="1"/>
  <c r="J513" i="1"/>
  <c r="J501" i="1"/>
  <c r="J489" i="1"/>
  <c r="J477" i="1"/>
  <c r="J465" i="1"/>
  <c r="J453" i="1"/>
  <c r="J441" i="1"/>
  <c r="J429" i="1"/>
  <c r="J417" i="1"/>
  <c r="J405" i="1"/>
  <c r="J393" i="1"/>
  <c r="J381" i="1"/>
  <c r="J369" i="1"/>
  <c r="J357" i="1"/>
  <c r="J345" i="1"/>
  <c r="J333" i="1"/>
  <c r="J321" i="1"/>
  <c r="J309" i="1"/>
  <c r="J297" i="1"/>
  <c r="J285" i="1"/>
  <c r="J273" i="1"/>
  <c r="J261" i="1"/>
  <c r="J249" i="1"/>
  <c r="J237" i="1"/>
  <c r="J225" i="1"/>
  <c r="J213" i="1"/>
  <c r="J201" i="1"/>
  <c r="J189" i="1"/>
  <c r="J177" i="1"/>
  <c r="J706" i="1"/>
  <c r="J502" i="1"/>
  <c r="J274" i="1"/>
  <c r="J70" i="1"/>
  <c r="J601" i="1"/>
  <c r="J824" i="1"/>
  <c r="J812" i="1"/>
  <c r="J800" i="1"/>
  <c r="J788" i="1"/>
  <c r="J776" i="1"/>
  <c r="J764" i="1"/>
  <c r="J752" i="1"/>
  <c r="J740" i="1"/>
  <c r="J728" i="1"/>
  <c r="J716" i="1"/>
  <c r="J704" i="1"/>
  <c r="J692" i="1"/>
  <c r="J680" i="1"/>
  <c r="J668" i="1"/>
  <c r="J656" i="1"/>
  <c r="J644" i="1"/>
  <c r="J632" i="1"/>
  <c r="J620" i="1"/>
  <c r="J608" i="1"/>
  <c r="J596" i="1"/>
  <c r="J584" i="1"/>
  <c r="J572" i="1"/>
  <c r="J560" i="1"/>
  <c r="J548" i="1"/>
  <c r="J536" i="1"/>
  <c r="J524" i="1"/>
  <c r="J512" i="1"/>
  <c r="J500" i="1"/>
  <c r="J488" i="1"/>
  <c r="J476" i="1"/>
  <c r="J464" i="1"/>
  <c r="J452" i="1"/>
  <c r="J440" i="1"/>
  <c r="J428" i="1"/>
  <c r="J416" i="1"/>
  <c r="J404" i="1"/>
  <c r="J392" i="1"/>
  <c r="J380" i="1"/>
  <c r="J368" i="1"/>
  <c r="J356" i="1"/>
  <c r="J344" i="1"/>
  <c r="J332" i="1"/>
  <c r="J320" i="1"/>
  <c r="J308" i="1"/>
  <c r="J296" i="1"/>
  <c r="J284" i="1"/>
  <c r="J272" i="1"/>
  <c r="J260" i="1"/>
  <c r="J248" i="1"/>
  <c r="J236" i="1"/>
  <c r="J224" i="1"/>
  <c r="J212" i="1"/>
  <c r="J200" i="1"/>
  <c r="J188" i="1"/>
  <c r="J176" i="1"/>
  <c r="J164" i="1"/>
  <c r="J152" i="1"/>
  <c r="J140" i="1"/>
  <c r="J128" i="1"/>
  <c r="J116" i="1"/>
  <c r="J104" i="1"/>
  <c r="J92" i="1"/>
  <c r="J80" i="1"/>
  <c r="J68" i="1"/>
  <c r="J56" i="1"/>
  <c r="J44" i="1"/>
  <c r="J32" i="1"/>
  <c r="J20" i="1"/>
  <c r="J694" i="1"/>
  <c r="J490" i="1"/>
  <c r="J262" i="1"/>
  <c r="J58" i="1"/>
  <c r="J670" i="1"/>
  <c r="J442" i="1"/>
  <c r="J238" i="1"/>
  <c r="J658" i="1"/>
  <c r="J430" i="1"/>
  <c r="J226" i="1"/>
  <c r="J646" i="1"/>
  <c r="J418" i="1"/>
  <c r="J214" i="1"/>
  <c r="J634" i="1"/>
  <c r="J406" i="1"/>
  <c r="J202" i="1"/>
  <c r="J196" i="1"/>
  <c r="J184" i="1"/>
  <c r="J172" i="1"/>
  <c r="J160" i="1"/>
  <c r="J148" i="1"/>
  <c r="J136" i="1"/>
  <c r="J124" i="1"/>
  <c r="J112" i="1"/>
  <c r="J100" i="1"/>
  <c r="J88" i="1"/>
  <c r="J76" i="1"/>
  <c r="J64" i="1"/>
  <c r="J52" i="1"/>
  <c r="J40" i="1"/>
  <c r="J28" i="1"/>
  <c r="J16" i="1"/>
  <c r="Q824" i="1"/>
  <c r="Q820" i="1"/>
  <c r="Q816" i="1"/>
  <c r="Q812" i="1"/>
  <c r="Q808" i="1"/>
  <c r="Q804" i="1"/>
  <c r="Q796" i="1"/>
  <c r="Q792" i="1"/>
  <c r="Q788" i="1"/>
  <c r="Q784" i="1"/>
  <c r="Q780" i="1"/>
  <c r="Q776" i="1"/>
  <c r="Q772" i="1"/>
  <c r="Q768" i="1"/>
  <c r="Q764" i="1"/>
  <c r="Q760" i="1"/>
  <c r="Q756" i="1"/>
  <c r="Q752" i="1"/>
  <c r="Q748" i="1"/>
  <c r="Q744" i="1"/>
  <c r="Q740" i="1"/>
  <c r="Q736" i="1"/>
  <c r="Q732" i="1"/>
  <c r="Q728" i="1"/>
  <c r="Q724" i="1"/>
  <c r="Q720" i="1"/>
  <c r="Q716" i="1"/>
  <c r="Q712" i="1"/>
  <c r="Q708" i="1"/>
  <c r="Q704" i="1"/>
  <c r="Q700" i="1"/>
  <c r="Q696" i="1"/>
  <c r="Q692" i="1"/>
  <c r="Q688" i="1"/>
  <c r="Q684" i="1"/>
  <c r="Q680" i="1"/>
  <c r="Q676" i="1"/>
  <c r="Q672" i="1"/>
  <c r="Q668" i="1"/>
  <c r="Q664" i="1"/>
  <c r="Q660" i="1"/>
  <c r="Q656" i="1"/>
  <c r="Q652" i="1"/>
  <c r="Q648" i="1"/>
  <c r="Q644" i="1"/>
  <c r="Q640" i="1"/>
  <c r="Q636" i="1"/>
  <c r="Q632" i="1"/>
  <c r="Q628" i="1"/>
  <c r="Q624" i="1"/>
  <c r="Q620" i="1"/>
  <c r="Q616" i="1"/>
  <c r="Q612" i="1"/>
  <c r="Q608" i="1"/>
  <c r="Q604" i="1"/>
  <c r="Q600" i="1"/>
  <c r="Q596" i="1"/>
  <c r="Q592" i="1"/>
  <c r="Q588" i="1"/>
  <c r="Q584" i="1"/>
  <c r="Q580" i="1"/>
  <c r="Q576" i="1"/>
  <c r="Q572" i="1"/>
  <c r="Q568" i="1"/>
  <c r="Q564" i="1"/>
  <c r="Q560" i="1"/>
  <c r="Q556" i="1"/>
  <c r="Q552" i="1"/>
  <c r="Q548" i="1"/>
  <c r="Q544" i="1"/>
  <c r="Q540" i="1"/>
  <c r="Q536" i="1"/>
  <c r="Q532" i="1"/>
  <c r="Q528" i="1"/>
  <c r="Q524" i="1"/>
  <c r="Q520" i="1"/>
  <c r="Q516" i="1"/>
  <c r="Q512" i="1"/>
  <c r="Q508" i="1"/>
  <c r="Q504" i="1"/>
  <c r="Q500" i="1"/>
  <c r="Q496" i="1"/>
  <c r="Q492" i="1"/>
  <c r="Q488" i="1"/>
  <c r="P764" i="1"/>
  <c r="P760" i="1"/>
  <c r="P756" i="1"/>
  <c r="P752" i="1"/>
  <c r="P748" i="1"/>
  <c r="P744" i="1"/>
  <c r="P740" i="1"/>
  <c r="P736" i="1"/>
  <c r="P732" i="1"/>
  <c r="P728" i="1"/>
  <c r="P724" i="1"/>
  <c r="P720" i="1"/>
  <c r="P716" i="1"/>
  <c r="P712" i="1"/>
  <c r="P708" i="1"/>
  <c r="P704" i="1"/>
  <c r="P700" i="1"/>
  <c r="P696" i="1"/>
  <c r="P692" i="1"/>
  <c r="P688" i="1"/>
  <c r="P684" i="1"/>
  <c r="P680" i="1"/>
  <c r="P676" i="1"/>
  <c r="P672" i="1"/>
  <c r="P668" i="1"/>
  <c r="P664" i="1"/>
  <c r="P660" i="1"/>
  <c r="P656" i="1"/>
  <c r="P652" i="1"/>
  <c r="P648" i="1"/>
  <c r="P644" i="1"/>
  <c r="P640" i="1"/>
  <c r="P636" i="1"/>
  <c r="P632" i="1"/>
  <c r="P628" i="1"/>
  <c r="P624" i="1"/>
  <c r="P620" i="1"/>
  <c r="P616" i="1"/>
  <c r="P612" i="1"/>
  <c r="P608" i="1"/>
  <c r="P604" i="1"/>
  <c r="P600" i="1"/>
  <c r="P596" i="1"/>
  <c r="P592" i="1"/>
  <c r="P588" i="1"/>
  <c r="P584" i="1"/>
  <c r="P580" i="1"/>
  <c r="P576" i="1"/>
  <c r="P572" i="1"/>
  <c r="P568" i="1"/>
  <c r="P564" i="1"/>
  <c r="P560" i="1"/>
  <c r="P556" i="1"/>
  <c r="P552" i="1"/>
  <c r="P548" i="1"/>
  <c r="P544" i="1"/>
  <c r="P540" i="1"/>
  <c r="P536" i="1"/>
  <c r="P532" i="1"/>
  <c r="P528" i="1"/>
  <c r="P524" i="1"/>
  <c r="P520" i="1"/>
  <c r="P516" i="1"/>
  <c r="P512" i="1"/>
  <c r="P508" i="1"/>
  <c r="P504" i="1"/>
  <c r="P500" i="1"/>
  <c r="P496" i="1"/>
  <c r="P492" i="1"/>
  <c r="P488" i="1"/>
  <c r="P484" i="1"/>
  <c r="P480" i="1"/>
  <c r="P476" i="1"/>
  <c r="P472" i="1"/>
  <c r="P468" i="1"/>
  <c r="P464" i="1"/>
  <c r="P460" i="1"/>
  <c r="P456" i="1"/>
  <c r="P452" i="1"/>
  <c r="P448" i="1"/>
  <c r="P444" i="1"/>
  <c r="P440" i="1"/>
  <c r="P436" i="1"/>
  <c r="P432" i="1"/>
  <c r="R815" i="1"/>
  <c r="R811" i="1"/>
  <c r="R807" i="1"/>
  <c r="R803" i="1"/>
  <c r="R799" i="1"/>
  <c r="R795" i="1"/>
  <c r="R791" i="1"/>
  <c r="R787" i="1"/>
  <c r="R783" i="1"/>
  <c r="R779" i="1"/>
  <c r="R775" i="1"/>
  <c r="R771" i="1"/>
  <c r="R767" i="1"/>
  <c r="R763" i="1"/>
  <c r="R759" i="1"/>
  <c r="R755" i="1"/>
  <c r="R751" i="1"/>
  <c r="R747" i="1"/>
  <c r="R743" i="1"/>
  <c r="R739" i="1"/>
  <c r="R735" i="1"/>
  <c r="R731" i="1"/>
  <c r="R727" i="1"/>
  <c r="R723" i="1"/>
  <c r="R719" i="1"/>
  <c r="R715" i="1"/>
  <c r="R711" i="1"/>
  <c r="R707" i="1"/>
  <c r="R703" i="1"/>
  <c r="R699" i="1"/>
  <c r="R695" i="1"/>
  <c r="R691" i="1"/>
  <c r="R687" i="1"/>
  <c r="R683" i="1"/>
  <c r="R679" i="1"/>
  <c r="R675" i="1"/>
  <c r="R671" i="1"/>
  <c r="R667" i="1"/>
  <c r="R663" i="1"/>
  <c r="R659" i="1"/>
  <c r="R655" i="1"/>
  <c r="R651" i="1"/>
  <c r="R647" i="1"/>
  <c r="R643" i="1"/>
  <c r="R639" i="1"/>
  <c r="R635" i="1"/>
  <c r="R631" i="1"/>
  <c r="R627" i="1"/>
  <c r="R623" i="1"/>
  <c r="R619" i="1"/>
  <c r="R615" i="1"/>
  <c r="R611" i="1"/>
  <c r="R607" i="1"/>
  <c r="R603" i="1"/>
  <c r="R599" i="1"/>
  <c r="R595" i="1"/>
  <c r="R591" i="1"/>
  <c r="R587" i="1"/>
  <c r="R583" i="1"/>
  <c r="R575" i="1"/>
  <c r="R571" i="1"/>
  <c r="R567" i="1"/>
  <c r="R559" i="1"/>
  <c r="R555" i="1"/>
  <c r="R551" i="1"/>
  <c r="R547" i="1"/>
  <c r="R543" i="1"/>
  <c r="R539" i="1"/>
  <c r="R535" i="1"/>
  <c r="R531" i="1"/>
  <c r="R527" i="1"/>
  <c r="R523" i="1"/>
  <c r="R519" i="1"/>
  <c r="R515" i="1"/>
  <c r="R511" i="1"/>
  <c r="R507" i="1"/>
  <c r="R503" i="1"/>
  <c r="R499" i="1"/>
  <c r="P807" i="1"/>
  <c r="P803" i="1"/>
  <c r="P799" i="1"/>
  <c r="P795" i="1"/>
  <c r="P791" i="1"/>
  <c r="P787" i="1"/>
  <c r="P783" i="1"/>
  <c r="P779" i="1"/>
  <c r="P775" i="1"/>
  <c r="P771" i="1"/>
  <c r="P767" i="1"/>
  <c r="P763" i="1"/>
  <c r="P759" i="1"/>
  <c r="P755" i="1"/>
  <c r="P751" i="1"/>
  <c r="P747" i="1"/>
  <c r="P743" i="1"/>
  <c r="P739" i="1"/>
  <c r="P731" i="1"/>
  <c r="P727" i="1"/>
  <c r="P723" i="1"/>
  <c r="P719" i="1"/>
  <c r="P715" i="1"/>
  <c r="P711" i="1"/>
  <c r="P707" i="1"/>
  <c r="P703" i="1"/>
  <c r="P699" i="1"/>
  <c r="P695" i="1"/>
  <c r="P691" i="1"/>
  <c r="P687" i="1"/>
  <c r="P683" i="1"/>
  <c r="P679" i="1"/>
  <c r="P675" i="1"/>
  <c r="P671" i="1"/>
  <c r="P667" i="1"/>
  <c r="P663" i="1"/>
  <c r="P659" i="1"/>
  <c r="P655" i="1"/>
  <c r="P651" i="1"/>
  <c r="P647" i="1"/>
  <c r="P643" i="1"/>
  <c r="P639" i="1"/>
  <c r="P635" i="1"/>
  <c r="P631" i="1"/>
  <c r="P627" i="1"/>
  <c r="P623" i="1"/>
  <c r="P619" i="1"/>
  <c r="P615" i="1"/>
  <c r="P611" i="1"/>
  <c r="P607" i="1"/>
  <c r="P603" i="1"/>
  <c r="P599" i="1"/>
  <c r="P595" i="1"/>
  <c r="P591" i="1"/>
  <c r="P587" i="1"/>
  <c r="P583" i="1"/>
  <c r="P579" i="1"/>
  <c r="P575" i="1"/>
  <c r="P571" i="1"/>
  <c r="P567" i="1"/>
  <c r="P563" i="1"/>
  <c r="P559" i="1"/>
  <c r="P555" i="1"/>
  <c r="P551" i="1"/>
  <c r="P547" i="1"/>
  <c r="P543" i="1"/>
  <c r="P539" i="1"/>
  <c r="P535" i="1"/>
  <c r="P531" i="1"/>
  <c r="P527" i="1"/>
  <c r="P523" i="1"/>
  <c r="P519" i="1"/>
  <c r="P515" i="1"/>
  <c r="P511" i="1"/>
  <c r="P507" i="1"/>
  <c r="P503" i="1"/>
  <c r="P499" i="1"/>
  <c r="P487" i="1"/>
  <c r="J11" i="1"/>
  <c r="R822" i="1"/>
  <c r="R818" i="1"/>
  <c r="R814" i="1"/>
  <c r="R810" i="1"/>
  <c r="R806" i="1"/>
  <c r="R802" i="1"/>
  <c r="R798" i="1"/>
  <c r="R794" i="1"/>
  <c r="R790" i="1"/>
  <c r="R786" i="1"/>
  <c r="R782" i="1"/>
  <c r="R778" i="1"/>
  <c r="R774" i="1"/>
  <c r="R770" i="1"/>
  <c r="R766" i="1"/>
  <c r="R762" i="1"/>
  <c r="R758" i="1"/>
  <c r="R754" i="1"/>
  <c r="R750" i="1"/>
  <c r="R746" i="1"/>
  <c r="R742" i="1"/>
  <c r="R738" i="1"/>
  <c r="R734" i="1"/>
  <c r="R730" i="1"/>
  <c r="R726" i="1"/>
  <c r="R722" i="1"/>
  <c r="R718" i="1"/>
  <c r="R714" i="1"/>
  <c r="R710" i="1"/>
  <c r="R706" i="1"/>
  <c r="R702" i="1"/>
  <c r="R698" i="1"/>
  <c r="R694" i="1"/>
  <c r="R690" i="1"/>
  <c r="R686" i="1"/>
  <c r="R682" i="1"/>
  <c r="R678" i="1"/>
  <c r="R674" i="1"/>
  <c r="R670" i="1"/>
  <c r="R666" i="1"/>
  <c r="R662" i="1"/>
  <c r="R658" i="1"/>
  <c r="R654" i="1"/>
  <c r="R650" i="1"/>
  <c r="R646" i="1"/>
  <c r="R642" i="1"/>
  <c r="R638" i="1"/>
  <c r="R634" i="1"/>
  <c r="R630" i="1"/>
  <c r="R626" i="1"/>
  <c r="R622" i="1"/>
  <c r="R618" i="1"/>
  <c r="R614" i="1"/>
  <c r="R610" i="1"/>
  <c r="R606" i="1"/>
  <c r="R602" i="1"/>
  <c r="R598" i="1"/>
  <c r="R594" i="1"/>
  <c r="R590" i="1"/>
  <c r="R586" i="1"/>
  <c r="R582" i="1"/>
  <c r="R578" i="1"/>
  <c r="R574" i="1"/>
  <c r="R570" i="1"/>
  <c r="R566" i="1"/>
  <c r="R562" i="1"/>
  <c r="R558" i="1"/>
  <c r="R554" i="1"/>
  <c r="R550" i="1"/>
  <c r="R546" i="1"/>
  <c r="R542" i="1"/>
  <c r="R538" i="1"/>
  <c r="R534" i="1"/>
  <c r="R530" i="1"/>
  <c r="R526" i="1"/>
  <c r="R522" i="1"/>
  <c r="R518" i="1"/>
  <c r="R514" i="1"/>
  <c r="R510" i="1"/>
  <c r="R506" i="1"/>
  <c r="R502" i="1"/>
  <c r="R498" i="1"/>
  <c r="Q822" i="1"/>
  <c r="Q818" i="1"/>
  <c r="Q814" i="1"/>
  <c r="Q810" i="1"/>
  <c r="Q806" i="1"/>
  <c r="Q802" i="1"/>
  <c r="Q798" i="1"/>
  <c r="Q794" i="1"/>
  <c r="Q790" i="1"/>
  <c r="Q786" i="1"/>
  <c r="Q782" i="1"/>
  <c r="Q778" i="1"/>
  <c r="Q774" i="1"/>
  <c r="Q770" i="1"/>
  <c r="Q766" i="1"/>
  <c r="Q762" i="1"/>
  <c r="Q758" i="1"/>
  <c r="Q754" i="1"/>
  <c r="Q750" i="1"/>
  <c r="Q746" i="1"/>
  <c r="Q742" i="1"/>
  <c r="Q738" i="1"/>
  <c r="Q734" i="1"/>
  <c r="Q730" i="1"/>
  <c r="Q726" i="1"/>
  <c r="Q722" i="1"/>
  <c r="Q718" i="1"/>
  <c r="Q714" i="1"/>
  <c r="Q710" i="1"/>
  <c r="Q706" i="1"/>
  <c r="Q702" i="1"/>
  <c r="Q698" i="1"/>
  <c r="Q694" i="1"/>
  <c r="Q690" i="1"/>
  <c r="Q686" i="1"/>
  <c r="Q682" i="1"/>
  <c r="Q678" i="1"/>
  <c r="Q674" i="1"/>
  <c r="Q670" i="1"/>
  <c r="Q666" i="1"/>
  <c r="Q662" i="1"/>
  <c r="Q658" i="1"/>
  <c r="Q654" i="1"/>
  <c r="Q650" i="1"/>
  <c r="Q646" i="1"/>
  <c r="Q642" i="1"/>
  <c r="Q638" i="1"/>
  <c r="Q634" i="1"/>
  <c r="Q630" i="1"/>
  <c r="Q626" i="1"/>
  <c r="Q622" i="1"/>
  <c r="Q618" i="1"/>
  <c r="Q614" i="1"/>
  <c r="Q610" i="1"/>
  <c r="Q606" i="1"/>
  <c r="Q602" i="1"/>
  <c r="Q598" i="1"/>
  <c r="Q594" i="1"/>
  <c r="Q590" i="1"/>
  <c r="Q586" i="1"/>
  <c r="Q582" i="1"/>
  <c r="Q578" i="1"/>
  <c r="Q574" i="1"/>
  <c r="Q570" i="1"/>
  <c r="Q566" i="1"/>
  <c r="Q562" i="1"/>
  <c r="Q558" i="1"/>
  <c r="J165" i="1"/>
  <c r="J153" i="1"/>
  <c r="J141" i="1"/>
  <c r="J129" i="1"/>
  <c r="J117" i="1"/>
  <c r="J105" i="1"/>
  <c r="J93" i="1"/>
  <c r="J81" i="1"/>
  <c r="J69" i="1"/>
  <c r="J57" i="1"/>
  <c r="J45" i="1"/>
  <c r="J33" i="1"/>
  <c r="J21" i="1"/>
  <c r="P822" i="1"/>
  <c r="P818" i="1"/>
  <c r="P814" i="1"/>
  <c r="P810" i="1"/>
  <c r="P806" i="1"/>
  <c r="P802" i="1"/>
  <c r="P798" i="1"/>
  <c r="P794" i="1"/>
  <c r="P790" i="1"/>
  <c r="P786" i="1"/>
  <c r="P782" i="1"/>
  <c r="P778" i="1"/>
  <c r="P774" i="1"/>
  <c r="P770" i="1"/>
  <c r="P766" i="1"/>
  <c r="P762" i="1"/>
  <c r="P758" i="1"/>
  <c r="P754" i="1"/>
  <c r="P750" i="1"/>
  <c r="P746" i="1"/>
  <c r="P742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0" i="1"/>
  <c r="P686" i="1"/>
  <c r="P682" i="1"/>
  <c r="P678" i="1"/>
  <c r="P674" i="1"/>
  <c r="P670" i="1"/>
  <c r="P666" i="1"/>
  <c r="P662" i="1"/>
  <c r="P658" i="1"/>
  <c r="P654" i="1"/>
  <c r="P650" i="1"/>
  <c r="P646" i="1"/>
  <c r="P642" i="1"/>
  <c r="P638" i="1"/>
  <c r="P634" i="1"/>
  <c r="P630" i="1"/>
  <c r="P626" i="1"/>
  <c r="P622" i="1"/>
  <c r="P618" i="1"/>
  <c r="P614" i="1"/>
  <c r="P610" i="1"/>
  <c r="P606" i="1"/>
  <c r="P602" i="1"/>
  <c r="P598" i="1"/>
  <c r="P594" i="1"/>
  <c r="P590" i="1"/>
  <c r="P586" i="1"/>
  <c r="P582" i="1"/>
  <c r="P578" i="1"/>
  <c r="P574" i="1"/>
  <c r="P570" i="1"/>
  <c r="P566" i="1"/>
  <c r="P562" i="1"/>
  <c r="P558" i="1"/>
  <c r="P554" i="1"/>
  <c r="P550" i="1"/>
  <c r="P546" i="1"/>
  <c r="P542" i="1"/>
  <c r="R484" i="1"/>
  <c r="R480" i="1"/>
  <c r="R476" i="1"/>
  <c r="R472" i="1"/>
  <c r="R468" i="1"/>
  <c r="R464" i="1"/>
  <c r="R460" i="1"/>
  <c r="R456" i="1"/>
  <c r="R452" i="1"/>
  <c r="R448" i="1"/>
  <c r="R444" i="1"/>
  <c r="R440" i="1"/>
  <c r="R436" i="1"/>
  <c r="R432" i="1"/>
  <c r="R428" i="1"/>
  <c r="R424" i="1"/>
  <c r="R420" i="1"/>
  <c r="R416" i="1"/>
  <c r="R412" i="1"/>
  <c r="R408" i="1"/>
  <c r="R404" i="1"/>
  <c r="R400" i="1"/>
  <c r="R396" i="1"/>
  <c r="R392" i="1"/>
  <c r="R388" i="1"/>
  <c r="R384" i="1"/>
  <c r="R380" i="1"/>
  <c r="R376" i="1"/>
  <c r="R372" i="1"/>
  <c r="R368" i="1"/>
  <c r="R364" i="1"/>
  <c r="R360" i="1"/>
  <c r="R356" i="1"/>
  <c r="R352" i="1"/>
  <c r="R348" i="1"/>
  <c r="R344" i="1"/>
  <c r="R340" i="1"/>
  <c r="R336" i="1"/>
  <c r="R332" i="1"/>
  <c r="R328" i="1"/>
  <c r="R324" i="1"/>
  <c r="R320" i="1"/>
  <c r="R316" i="1"/>
  <c r="R312" i="1"/>
  <c r="R308" i="1"/>
  <c r="R304" i="1"/>
  <c r="R300" i="1"/>
  <c r="R296" i="1"/>
  <c r="R292" i="1"/>
  <c r="R288" i="1"/>
  <c r="R284" i="1"/>
  <c r="R280" i="1"/>
  <c r="R276" i="1"/>
  <c r="R272" i="1"/>
  <c r="R268" i="1"/>
  <c r="R264" i="1"/>
  <c r="R260" i="1"/>
  <c r="R256" i="1"/>
  <c r="Q484" i="1"/>
  <c r="Q480" i="1"/>
  <c r="Q476" i="1"/>
  <c r="Q472" i="1"/>
  <c r="Q468" i="1"/>
  <c r="Q464" i="1"/>
  <c r="Q460" i="1"/>
  <c r="Q456" i="1"/>
  <c r="Q452" i="1"/>
  <c r="Q448" i="1"/>
  <c r="Q444" i="1"/>
  <c r="Q440" i="1"/>
  <c r="Q436" i="1"/>
  <c r="Q432" i="1"/>
  <c r="Q428" i="1"/>
  <c r="Q424" i="1"/>
  <c r="Q420" i="1"/>
  <c r="Q416" i="1"/>
  <c r="Q412" i="1"/>
  <c r="Q408" i="1"/>
  <c r="Q404" i="1"/>
  <c r="Q400" i="1"/>
  <c r="Q396" i="1"/>
  <c r="Q392" i="1"/>
  <c r="Q388" i="1"/>
  <c r="Q384" i="1"/>
  <c r="Q380" i="1"/>
  <c r="Q376" i="1"/>
  <c r="Q372" i="1"/>
  <c r="Q368" i="1"/>
  <c r="Q364" i="1"/>
  <c r="Q360" i="1"/>
  <c r="Q356" i="1"/>
  <c r="Q352" i="1"/>
  <c r="Q348" i="1"/>
  <c r="Q344" i="1"/>
  <c r="Q340" i="1"/>
  <c r="Q336" i="1"/>
  <c r="Q332" i="1"/>
  <c r="Q328" i="1"/>
  <c r="Q324" i="1"/>
  <c r="Q320" i="1"/>
  <c r="Q316" i="1"/>
  <c r="Q312" i="1"/>
  <c r="Q308" i="1"/>
  <c r="Q304" i="1"/>
  <c r="Q300" i="1"/>
  <c r="Q296" i="1"/>
  <c r="Q292" i="1"/>
  <c r="Q288" i="1"/>
  <c r="Q284" i="1"/>
  <c r="Q280" i="1"/>
  <c r="Q276" i="1"/>
  <c r="Q272" i="1"/>
  <c r="Q268" i="1"/>
  <c r="Q264" i="1"/>
  <c r="Q260" i="1"/>
  <c r="Q256" i="1"/>
  <c r="Q252" i="1"/>
  <c r="Q248" i="1"/>
  <c r="Q244" i="1"/>
  <c r="Q240" i="1"/>
  <c r="Q236" i="1"/>
  <c r="Q232" i="1"/>
  <c r="Q228" i="1"/>
  <c r="Q224" i="1"/>
  <c r="Q220" i="1"/>
  <c r="Q216" i="1"/>
  <c r="Q212" i="1"/>
  <c r="Q208" i="1"/>
  <c r="Q204" i="1"/>
  <c r="Q200" i="1"/>
  <c r="Q196" i="1"/>
  <c r="P428" i="1"/>
  <c r="P424" i="1"/>
  <c r="P420" i="1"/>
  <c r="P416" i="1"/>
  <c r="P412" i="1"/>
  <c r="P408" i="1"/>
  <c r="P404" i="1"/>
  <c r="P400" i="1"/>
  <c r="P396" i="1"/>
  <c r="P392" i="1"/>
  <c r="P388" i="1"/>
  <c r="P384" i="1"/>
  <c r="P380" i="1"/>
  <c r="P376" i="1"/>
  <c r="P372" i="1"/>
  <c r="P368" i="1"/>
  <c r="P364" i="1"/>
  <c r="P360" i="1"/>
  <c r="P356" i="1"/>
  <c r="P352" i="1"/>
  <c r="P348" i="1"/>
  <c r="P344" i="1"/>
  <c r="P340" i="1"/>
  <c r="P336" i="1"/>
  <c r="P332" i="1"/>
  <c r="P328" i="1"/>
  <c r="P324" i="1"/>
  <c r="P320" i="1"/>
  <c r="P316" i="1"/>
  <c r="P312" i="1"/>
  <c r="P308" i="1"/>
  <c r="P304" i="1"/>
  <c r="P300" i="1"/>
  <c r="P296" i="1"/>
  <c r="P292" i="1"/>
  <c r="P288" i="1"/>
  <c r="P284" i="1"/>
  <c r="P280" i="1"/>
  <c r="P276" i="1"/>
  <c r="P272" i="1"/>
  <c r="P268" i="1"/>
  <c r="P264" i="1"/>
  <c r="P260" i="1"/>
  <c r="P256" i="1"/>
  <c r="P252" i="1"/>
  <c r="P248" i="1"/>
  <c r="P244" i="1"/>
  <c r="P240" i="1"/>
  <c r="P236" i="1"/>
  <c r="P232" i="1"/>
  <c r="P228" i="1"/>
  <c r="P224" i="1"/>
  <c r="P220" i="1"/>
  <c r="P216" i="1"/>
  <c r="P212" i="1"/>
  <c r="P208" i="1"/>
  <c r="P204" i="1"/>
  <c r="P200" i="1"/>
  <c r="P196" i="1"/>
  <c r="P192" i="1"/>
  <c r="P188" i="1"/>
  <c r="P184" i="1"/>
  <c r="P180" i="1"/>
  <c r="P176" i="1"/>
  <c r="P172" i="1"/>
  <c r="P168" i="1"/>
  <c r="R11" i="1"/>
  <c r="Q11" i="1"/>
  <c r="P495" i="1"/>
  <c r="P491" i="1"/>
  <c r="P483" i="1"/>
  <c r="P479" i="1"/>
  <c r="P475" i="1"/>
  <c r="P471" i="1"/>
  <c r="P467" i="1"/>
  <c r="P463" i="1"/>
  <c r="P459" i="1"/>
  <c r="P455" i="1"/>
  <c r="P451" i="1"/>
  <c r="P447" i="1"/>
  <c r="P443" i="1"/>
  <c r="P439" i="1"/>
  <c r="P435" i="1"/>
  <c r="P431" i="1"/>
  <c r="P427" i="1"/>
  <c r="P423" i="1"/>
  <c r="P419" i="1"/>
  <c r="P415" i="1"/>
  <c r="P411" i="1"/>
  <c r="P407" i="1"/>
  <c r="P403" i="1"/>
  <c r="P399" i="1"/>
  <c r="P395" i="1"/>
  <c r="P391" i="1"/>
  <c r="P387" i="1"/>
  <c r="P383" i="1"/>
  <c r="P379" i="1"/>
  <c r="P375" i="1"/>
  <c r="P371" i="1"/>
  <c r="P367" i="1"/>
  <c r="P363" i="1"/>
  <c r="P359" i="1"/>
  <c r="P355" i="1"/>
  <c r="P351" i="1"/>
  <c r="P347" i="1"/>
  <c r="P343" i="1"/>
  <c r="P339" i="1"/>
  <c r="P335" i="1"/>
  <c r="P331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P279" i="1"/>
  <c r="P275" i="1"/>
  <c r="P271" i="1"/>
  <c r="P267" i="1"/>
  <c r="P263" i="1"/>
  <c r="P259" i="1"/>
  <c r="P255" i="1"/>
  <c r="P251" i="1"/>
  <c r="P247" i="1"/>
  <c r="P243" i="1"/>
  <c r="P239" i="1"/>
  <c r="P235" i="1"/>
  <c r="P231" i="1"/>
  <c r="P227" i="1"/>
  <c r="P223" i="1"/>
  <c r="P219" i="1"/>
  <c r="P11" i="1"/>
  <c r="R494" i="1"/>
  <c r="R490" i="1"/>
  <c r="R486" i="1"/>
  <c r="R482" i="1"/>
  <c r="R478" i="1"/>
  <c r="R474" i="1"/>
  <c r="R470" i="1"/>
  <c r="R466" i="1"/>
  <c r="R462" i="1"/>
  <c r="R458" i="1"/>
  <c r="R454" i="1"/>
  <c r="R450" i="1"/>
  <c r="R446" i="1"/>
  <c r="R442" i="1"/>
  <c r="R438" i="1"/>
  <c r="R434" i="1"/>
  <c r="R430" i="1"/>
  <c r="R426" i="1"/>
  <c r="R422" i="1"/>
  <c r="R418" i="1"/>
  <c r="R414" i="1"/>
  <c r="R410" i="1"/>
  <c r="R406" i="1"/>
  <c r="R402" i="1"/>
  <c r="R398" i="1"/>
  <c r="R394" i="1"/>
  <c r="R390" i="1"/>
  <c r="R386" i="1"/>
  <c r="R382" i="1"/>
  <c r="R378" i="1"/>
  <c r="R374" i="1"/>
  <c r="R370" i="1"/>
  <c r="R366" i="1"/>
  <c r="R362" i="1"/>
  <c r="R358" i="1"/>
  <c r="R354" i="1"/>
  <c r="R350" i="1"/>
  <c r="R346" i="1"/>
  <c r="R342" i="1"/>
  <c r="R338" i="1"/>
  <c r="R334" i="1"/>
  <c r="R330" i="1"/>
  <c r="R326" i="1"/>
  <c r="R322" i="1"/>
  <c r="R318" i="1"/>
  <c r="R314" i="1"/>
  <c r="R310" i="1"/>
  <c r="R306" i="1"/>
  <c r="R302" i="1"/>
  <c r="R298" i="1"/>
  <c r="R294" i="1"/>
  <c r="R290" i="1"/>
  <c r="R286" i="1"/>
  <c r="R282" i="1"/>
  <c r="R278" i="1"/>
  <c r="R274" i="1"/>
  <c r="R270" i="1"/>
  <c r="R266" i="1"/>
  <c r="R262" i="1"/>
  <c r="R258" i="1"/>
  <c r="R254" i="1"/>
  <c r="R250" i="1"/>
  <c r="R246" i="1"/>
  <c r="R242" i="1"/>
  <c r="R238" i="1"/>
  <c r="R234" i="1"/>
  <c r="R230" i="1"/>
  <c r="R226" i="1"/>
  <c r="R222" i="1"/>
  <c r="R218" i="1"/>
  <c r="R214" i="1"/>
  <c r="R210" i="1"/>
  <c r="R206" i="1"/>
  <c r="R202" i="1"/>
  <c r="R198" i="1"/>
  <c r="R194" i="1"/>
  <c r="R190" i="1"/>
  <c r="R186" i="1"/>
  <c r="R182" i="1"/>
  <c r="R178" i="1"/>
  <c r="R174" i="1"/>
  <c r="R170" i="1"/>
  <c r="R166" i="1"/>
  <c r="Q554" i="1"/>
  <c r="Q550" i="1"/>
  <c r="Q546" i="1"/>
  <c r="Q542" i="1"/>
  <c r="Q538" i="1"/>
  <c r="Q534" i="1"/>
  <c r="Q530" i="1"/>
  <c r="Q526" i="1"/>
  <c r="Q522" i="1"/>
  <c r="Q518" i="1"/>
  <c r="Q514" i="1"/>
  <c r="Q510" i="1"/>
  <c r="Q506" i="1"/>
  <c r="Q502" i="1"/>
  <c r="Q498" i="1"/>
  <c r="Q494" i="1"/>
  <c r="Q490" i="1"/>
  <c r="Q486" i="1"/>
  <c r="Q482" i="1"/>
  <c r="Q478" i="1"/>
  <c r="Q474" i="1"/>
  <c r="Q470" i="1"/>
  <c r="Q466" i="1"/>
  <c r="Q462" i="1"/>
  <c r="Q458" i="1"/>
  <c r="Q454" i="1"/>
  <c r="Q450" i="1"/>
  <c r="Q446" i="1"/>
  <c r="Q442" i="1"/>
  <c r="Q438" i="1"/>
  <c r="Q434" i="1"/>
  <c r="Q430" i="1"/>
  <c r="Q426" i="1"/>
  <c r="Q422" i="1"/>
  <c r="Q418" i="1"/>
  <c r="Q414" i="1"/>
  <c r="Q410" i="1"/>
  <c r="Q406" i="1"/>
  <c r="Q402" i="1"/>
  <c r="Q398" i="1"/>
  <c r="Q394" i="1"/>
  <c r="Q390" i="1"/>
  <c r="Q386" i="1"/>
  <c r="Q382" i="1"/>
  <c r="Q378" i="1"/>
  <c r="Q374" i="1"/>
  <c r="Q370" i="1"/>
  <c r="Q366" i="1"/>
  <c r="Q362" i="1"/>
  <c r="Q358" i="1"/>
  <c r="Q354" i="1"/>
  <c r="Q350" i="1"/>
  <c r="Q346" i="1"/>
  <c r="Q342" i="1"/>
  <c r="Q338" i="1"/>
  <c r="Q334" i="1"/>
  <c r="Q330" i="1"/>
  <c r="Q326" i="1"/>
  <c r="Q322" i="1"/>
  <c r="Q318" i="1"/>
  <c r="Q314" i="1"/>
  <c r="Q310" i="1"/>
  <c r="Q306" i="1"/>
  <c r="Q302" i="1"/>
  <c r="Q298" i="1"/>
  <c r="Q294" i="1"/>
  <c r="Q290" i="1"/>
  <c r="Q286" i="1"/>
  <c r="Q282" i="1"/>
  <c r="Q278" i="1"/>
  <c r="Q274" i="1"/>
  <c r="Q270" i="1"/>
  <c r="Q266" i="1"/>
  <c r="Q262" i="1"/>
  <c r="Q258" i="1"/>
  <c r="Q254" i="1"/>
  <c r="Q250" i="1"/>
  <c r="Q246" i="1"/>
  <c r="Q242" i="1"/>
  <c r="R237" i="1"/>
  <c r="R233" i="1"/>
  <c r="R229" i="1"/>
  <c r="R225" i="1"/>
  <c r="R221" i="1"/>
  <c r="R217" i="1"/>
  <c r="R213" i="1"/>
  <c r="R209" i="1"/>
  <c r="R205" i="1"/>
  <c r="R201" i="1"/>
  <c r="R197" i="1"/>
  <c r="R193" i="1"/>
  <c r="R189" i="1"/>
  <c r="R185" i="1"/>
  <c r="R181" i="1"/>
  <c r="R177" i="1"/>
  <c r="R173" i="1"/>
  <c r="R169" i="1"/>
  <c r="R165" i="1"/>
  <c r="R161" i="1"/>
  <c r="R157" i="1"/>
  <c r="R153" i="1"/>
  <c r="R149" i="1"/>
  <c r="R145" i="1"/>
  <c r="R141" i="1"/>
  <c r="R137" i="1"/>
  <c r="R133" i="1"/>
  <c r="R129" i="1"/>
  <c r="R125" i="1"/>
  <c r="R121" i="1"/>
  <c r="R117" i="1"/>
  <c r="R113" i="1"/>
  <c r="R109" i="1"/>
  <c r="R105" i="1"/>
  <c r="R101" i="1"/>
  <c r="R97" i="1"/>
  <c r="R93" i="1"/>
  <c r="R89" i="1"/>
  <c r="R85" i="1"/>
  <c r="R81" i="1"/>
  <c r="R77" i="1"/>
  <c r="R73" i="1"/>
  <c r="R69" i="1"/>
  <c r="R65" i="1"/>
  <c r="R61" i="1"/>
  <c r="R57" i="1"/>
  <c r="R53" i="1"/>
  <c r="R49" i="1"/>
  <c r="R45" i="1"/>
  <c r="R41" i="1"/>
  <c r="R37" i="1"/>
  <c r="R33" i="1"/>
  <c r="R29" i="1"/>
  <c r="R25" i="1"/>
  <c r="R21" i="1"/>
  <c r="R17" i="1"/>
  <c r="R13" i="1"/>
  <c r="R252" i="1"/>
  <c r="R248" i="1"/>
  <c r="R244" i="1"/>
  <c r="R240" i="1"/>
  <c r="R236" i="1"/>
  <c r="R232" i="1"/>
  <c r="R228" i="1"/>
  <c r="R224" i="1"/>
  <c r="R220" i="1"/>
  <c r="R216" i="1"/>
  <c r="R212" i="1"/>
  <c r="R208" i="1"/>
  <c r="R204" i="1"/>
  <c r="R200" i="1"/>
  <c r="R196" i="1"/>
  <c r="R192" i="1"/>
  <c r="R188" i="1"/>
  <c r="R184" i="1"/>
  <c r="R180" i="1"/>
  <c r="R176" i="1"/>
  <c r="R172" i="1"/>
  <c r="R168" i="1"/>
  <c r="R164" i="1"/>
  <c r="R148" i="1"/>
  <c r="Q192" i="1"/>
  <c r="Q188" i="1"/>
  <c r="Q184" i="1"/>
  <c r="Q180" i="1"/>
  <c r="Q176" i="1"/>
  <c r="Q172" i="1"/>
  <c r="Q168" i="1"/>
  <c r="Q164" i="1"/>
  <c r="Q160" i="1"/>
  <c r="Q156" i="1"/>
  <c r="Q152" i="1"/>
  <c r="Q148" i="1"/>
  <c r="Q144" i="1"/>
  <c r="Q140" i="1"/>
  <c r="Q136" i="1"/>
  <c r="Q132" i="1"/>
  <c r="Q128" i="1"/>
  <c r="Q124" i="1"/>
  <c r="Q120" i="1"/>
  <c r="Q116" i="1"/>
  <c r="Q112" i="1"/>
  <c r="Q108" i="1"/>
  <c r="Q104" i="1"/>
  <c r="Q100" i="1"/>
  <c r="Q96" i="1"/>
  <c r="Q92" i="1"/>
  <c r="Q88" i="1"/>
  <c r="Q84" i="1"/>
  <c r="Q80" i="1"/>
  <c r="Q76" i="1"/>
  <c r="Q72" i="1"/>
  <c r="Q68" i="1"/>
  <c r="Q64" i="1"/>
  <c r="Q60" i="1"/>
  <c r="Q56" i="1"/>
  <c r="Q52" i="1"/>
  <c r="Q48" i="1"/>
  <c r="Q44" i="1"/>
  <c r="Q40" i="1"/>
  <c r="Q36" i="1"/>
  <c r="Q32" i="1"/>
  <c r="Q28" i="1"/>
  <c r="Q24" i="1"/>
  <c r="Q20" i="1"/>
  <c r="Q16" i="1"/>
  <c r="Q12" i="1"/>
  <c r="P164" i="1"/>
  <c r="P160" i="1"/>
  <c r="P156" i="1"/>
  <c r="P152" i="1"/>
  <c r="P148" i="1"/>
  <c r="P144" i="1"/>
  <c r="P140" i="1"/>
  <c r="P136" i="1"/>
  <c r="P132" i="1"/>
  <c r="P12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215" i="1"/>
  <c r="P211" i="1"/>
  <c r="P207" i="1"/>
  <c r="P203" i="1"/>
  <c r="P199" i="1"/>
  <c r="P195" i="1"/>
  <c r="P191" i="1"/>
  <c r="P187" i="1"/>
  <c r="P183" i="1"/>
  <c r="P179" i="1"/>
  <c r="P175" i="1"/>
  <c r="P171" i="1"/>
  <c r="P167" i="1"/>
  <c r="P163" i="1"/>
  <c r="P159" i="1"/>
  <c r="P155" i="1"/>
  <c r="P151" i="1"/>
  <c r="P147" i="1"/>
  <c r="P143" i="1"/>
  <c r="P139" i="1"/>
  <c r="P135" i="1"/>
  <c r="P127" i="1"/>
  <c r="P123" i="1"/>
  <c r="P119" i="1"/>
  <c r="P115" i="1"/>
  <c r="P111" i="1"/>
  <c r="P107" i="1"/>
  <c r="P103" i="1"/>
  <c r="P99" i="1"/>
  <c r="P95" i="1"/>
  <c r="P91" i="1"/>
  <c r="P87" i="1"/>
  <c r="P83" i="1"/>
  <c r="P79" i="1"/>
  <c r="P75" i="1"/>
  <c r="P71" i="1"/>
  <c r="P67" i="1"/>
  <c r="P63" i="1"/>
  <c r="P59" i="1"/>
  <c r="P55" i="1"/>
  <c r="P51" i="1"/>
  <c r="P47" i="1"/>
  <c r="P43" i="1"/>
  <c r="P39" i="1"/>
  <c r="P35" i="1"/>
  <c r="P31" i="1"/>
  <c r="P27" i="1"/>
  <c r="P23" i="1"/>
  <c r="P19" i="1"/>
  <c r="P15" i="1"/>
  <c r="R162" i="1"/>
  <c r="R158" i="1"/>
  <c r="R154" i="1"/>
  <c r="R150" i="1"/>
  <c r="R146" i="1"/>
  <c r="R142" i="1"/>
  <c r="R138" i="1"/>
  <c r="R134" i="1"/>
  <c r="R130" i="1"/>
  <c r="R126" i="1"/>
  <c r="R122" i="1"/>
  <c r="R118" i="1"/>
  <c r="R114" i="1"/>
  <c r="R110" i="1"/>
  <c r="R106" i="1"/>
  <c r="R102" i="1"/>
  <c r="R98" i="1"/>
  <c r="R94" i="1"/>
  <c r="R90" i="1"/>
  <c r="R86" i="1"/>
  <c r="R82" i="1"/>
  <c r="R78" i="1"/>
  <c r="R74" i="1"/>
  <c r="R70" i="1"/>
  <c r="R66" i="1"/>
  <c r="R14" i="1"/>
  <c r="Q238" i="1"/>
  <c r="Q234" i="1"/>
  <c r="Q230" i="1"/>
  <c r="Q226" i="1"/>
  <c r="Q222" i="1"/>
  <c r="Q218" i="1"/>
  <c r="Q214" i="1"/>
  <c r="Q210" i="1"/>
  <c r="Q206" i="1"/>
  <c r="Q202" i="1"/>
  <c r="Q198" i="1"/>
  <c r="Q194" i="1"/>
  <c r="Q190" i="1"/>
  <c r="Q186" i="1"/>
  <c r="Q182" i="1"/>
  <c r="Q178" i="1"/>
  <c r="Q174" i="1"/>
  <c r="Q170" i="1"/>
  <c r="Q166" i="1"/>
  <c r="Q162" i="1"/>
  <c r="Q158" i="1"/>
  <c r="Q154" i="1"/>
  <c r="Q150" i="1"/>
  <c r="Q146" i="1"/>
  <c r="Q142" i="1"/>
  <c r="Q138" i="1"/>
  <c r="Q134" i="1"/>
  <c r="Q130" i="1"/>
  <c r="Q126" i="1"/>
  <c r="Q122" i="1"/>
  <c r="Q118" i="1"/>
  <c r="Q114" i="1"/>
  <c r="Q110" i="1"/>
  <c r="Q106" i="1"/>
  <c r="Q102" i="1"/>
  <c r="Q98" i="1"/>
  <c r="Q94" i="1"/>
  <c r="Q90" i="1"/>
  <c r="Q86" i="1"/>
  <c r="Q82" i="1"/>
  <c r="Q78" i="1"/>
  <c r="Q74" i="1"/>
  <c r="Q70" i="1"/>
  <c r="Q66" i="1"/>
  <c r="Q62" i="1"/>
  <c r="Q58" i="1"/>
  <c r="Q54" i="1"/>
  <c r="Q50" i="1"/>
  <c r="Q46" i="1"/>
  <c r="Q42" i="1"/>
  <c r="Q38" i="1"/>
  <c r="Q34" i="1"/>
  <c r="Q30" i="1"/>
  <c r="Q26" i="1"/>
  <c r="Q22" i="1"/>
  <c r="Q18" i="1"/>
  <c r="Q1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</calcChain>
</file>

<file path=xl/sharedStrings.xml><?xml version="1.0" encoding="utf-8"?>
<sst xmlns="http://schemas.openxmlformats.org/spreadsheetml/2006/main" count="27" uniqueCount="25">
  <si>
    <t>Date</t>
  </si>
  <si>
    <t>P2P</t>
  </si>
  <si>
    <t>Retail</t>
  </si>
  <si>
    <t>Successful Trasfers</t>
  </si>
  <si>
    <t>List of Senders</t>
  </si>
  <si>
    <t>Amount Entry</t>
  </si>
  <si>
    <t>UPI PIN Page</t>
  </si>
  <si>
    <t>Total Traffic</t>
  </si>
  <si>
    <t>Overall conversion</t>
  </si>
  <si>
    <t>List of Senders/Amount Entry</t>
  </si>
  <si>
    <t>Amount Entry/UPI PIN Page</t>
  </si>
  <si>
    <t>UPI PIN Page/Successful Trasfers</t>
  </si>
  <si>
    <t>Overall conversion Same day last week</t>
  </si>
  <si>
    <t>L/A</t>
  </si>
  <si>
    <t>A/U</t>
  </si>
  <si>
    <t>U/S</t>
  </si>
  <si>
    <t>L/A same day last week</t>
  </si>
  <si>
    <t>A/U same day last week</t>
  </si>
  <si>
    <t>U/S same day last week</t>
  </si>
  <si>
    <t>Total Traffic/List of Sender</t>
  </si>
  <si>
    <t>T/L</t>
  </si>
  <si>
    <t>T/L-count</t>
  </si>
  <si>
    <t>T/L same day last week</t>
  </si>
  <si>
    <t>P2P same day last week</t>
  </si>
  <si>
    <t>Retail same day last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</si>
</sst>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2" applyFont="1"/>
    <xf numFmtId="165" fontId="0" fillId="0" borderId="0" xfId="2" applyNumberFormat="1" applyFont="1"/>
    <xf numFmtId="10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7275-89E8-4040-930E-13CDB7762CA0}">
  <dimension ref="C2:S824"/>
  <sheetViews>
    <sheetView tabSelected="1" workbookViewId="0">
      <selection activeCell="D3" sqref="D3"/>
    </sheetView>
  </sheetViews>
  <sheetFormatPr defaultColWidth="11" defaultRowHeight="15.75" x14ac:dyDescent="0.25"/>
  <cols>
    <col min="3" max="3" width="10.125" bestFit="1" customWidth="1"/>
    <col min="4" max="4" width="12.75" bestFit="1" customWidth="1"/>
    <col min="5" max="5" width="11.75" bestFit="1" customWidth="1"/>
    <col min="6" max="6" width="11.375" bestFit="1" customWidth="1"/>
    <col min="7" max="7" width="16.625" bestFit="1" customWidth="1"/>
    <col min="8" max="8" width="22.875" bestFit="1" customWidth="1"/>
    <col min="9" max="9" width="16.125" bestFit="1" customWidth="1"/>
    <col min="10" max="10" width="17.125" bestFit="1" customWidth="1"/>
    <col min="11" max="11" width="22.875" bestFit="1" customWidth="1"/>
    <col min="12" max="12" width="24.75" bestFit="1" customWidth="1"/>
    <col min="13" max="13" width="23.375" bestFit="1" customWidth="1"/>
    <col min="14" max="14" width="28.25" bestFit="1" customWidth="1"/>
    <col min="15" max="15" width="28.25" customWidth="1"/>
    <col min="16" max="16" width="20.375" bestFit="1" customWidth="1"/>
    <col min="17" max="17" width="20.75" bestFit="1" customWidth="1"/>
    <col min="18" max="18" width="20.5" bestFit="1" customWidth="1"/>
  </cols>
  <sheetData>
    <row r="2" spans="3:19" x14ac:dyDescent="0.25">
      <c r="H2" t="s">
        <v>21</v>
      </c>
      <c r="K2" t="s">
        <v>20</v>
      </c>
      <c r="L2" t="s">
        <v>13</v>
      </c>
      <c r="M2" t="s">
        <v>14</v>
      </c>
      <c r="N2" t="s">
        <v>15</v>
      </c>
    </row>
    <row r="3" spans="3:19" x14ac:dyDescent="0.25">
      <c r="C3" t="s">
        <v>0</v>
      </c>
      <c r="D3" t="s">
        <v>4</v>
      </c>
      <c r="E3" t="s">
        <v>5</v>
      </c>
      <c r="F3" t="s">
        <v>6</v>
      </c>
      <c r="G3" t="s">
        <v>3</v>
      </c>
      <c r="H3" t="s">
        <v>19</v>
      </c>
      <c r="I3" t="s">
        <v>8</v>
      </c>
      <c r="J3" t="s">
        <v>12</v>
      </c>
      <c r="K3" t="s">
        <v>19</v>
      </c>
      <c r="L3" t="s">
        <v>9</v>
      </c>
      <c r="M3" t="s">
        <v>10</v>
      </c>
      <c r="N3" t="s">
        <v>11</v>
      </c>
      <c r="O3" t="s">
        <v>22</v>
      </c>
      <c r="P3" t="s">
        <v>16</v>
      </c>
      <c r="Q3" t="s">
        <v>17</v>
      </c>
      <c r="R3" t="s">
        <v>18</v>
      </c>
    </row>
    <row r="4" spans="3:19" x14ac:dyDescent="0.25">
      <c r="C4" s="1">
        <v>43466</v>
      </c>
      <c r="D4">
        <v>63328</v>
      </c>
      <c r="E4">
        <v>37154</v>
      </c>
      <c r="F4">
        <v>24948</v>
      </c>
      <c r="G4">
        <v>19299</v>
      </c>
      <c r="H4">
        <f>'Total Traffic'!D2-'Page Sessions'!D4</f>
        <v>67382</v>
      </c>
      <c r="I4" s="2">
        <f>G4/D4</f>
        <v>0.30474671551288529</v>
      </c>
      <c r="J4" s="2"/>
      <c r="K4" s="2">
        <f>D4/'Total Traffic'!D2</f>
        <v>0.4844923877285594</v>
      </c>
      <c r="L4" s="5">
        <f>E4/D4</f>
        <v>0.58669151086407278</v>
      </c>
      <c r="M4" s="5">
        <f>F4/E4</f>
        <v>0.67147548043279326</v>
      </c>
      <c r="N4" s="5">
        <f>G4/F4</f>
        <v>0.77356902356902357</v>
      </c>
      <c r="O4" s="5"/>
    </row>
    <row r="5" spans="3:19" x14ac:dyDescent="0.25">
      <c r="C5" s="1">
        <f>C4+1</f>
        <v>43467</v>
      </c>
      <c r="D5">
        <v>65086</v>
      </c>
      <c r="E5">
        <v>38556</v>
      </c>
      <c r="F5">
        <v>26754</v>
      </c>
      <c r="G5">
        <v>21250</v>
      </c>
      <c r="H5">
        <f>'Total Traffic'!D3-'Page Sessions'!D5</f>
        <v>65926</v>
      </c>
      <c r="I5" s="2">
        <f t="shared" ref="I5:I68" si="0">G5/D5</f>
        <v>0.32649110407768184</v>
      </c>
      <c r="J5" s="2"/>
      <c r="K5" s="2">
        <f>D5/'Total Traffic'!D3</f>
        <v>0.49679418679204956</v>
      </c>
      <c r="L5" s="5">
        <f t="shared" ref="L5:L68" si="1">E5/D5</f>
        <v>0.59238545923854591</v>
      </c>
      <c r="M5" s="5">
        <f t="shared" ref="M5:M68" si="2">F5/E5</f>
        <v>0.6938997821350763</v>
      </c>
      <c r="N5" s="5">
        <f t="shared" ref="N5:N68" si="3">G5/F5</f>
        <v>0.7942737534574269</v>
      </c>
      <c r="O5" s="5"/>
    </row>
    <row r="6" spans="3:19" x14ac:dyDescent="0.25">
      <c r="C6" s="1">
        <f t="shared" ref="C6:C69" si="4">C5+1</f>
        <v>43468</v>
      </c>
      <c r="D6">
        <v>64028</v>
      </c>
      <c r="E6">
        <v>38071</v>
      </c>
      <c r="F6">
        <v>26032</v>
      </c>
      <c r="G6">
        <v>20398</v>
      </c>
      <c r="H6">
        <f>'Total Traffic'!D4-'Page Sessions'!D6</f>
        <v>66696</v>
      </c>
      <c r="I6" s="2">
        <f t="shared" si="0"/>
        <v>0.31857937152495786</v>
      </c>
      <c r="J6" s="2"/>
      <c r="K6" s="2">
        <f>D6/'Total Traffic'!D4</f>
        <v>0.48979529390165538</v>
      </c>
      <c r="L6" s="5">
        <f t="shared" si="1"/>
        <v>0.59459923783344781</v>
      </c>
      <c r="M6" s="5">
        <f t="shared" si="2"/>
        <v>0.68377505187675658</v>
      </c>
      <c r="N6" s="5">
        <f t="shared" si="3"/>
        <v>0.7835740626920713</v>
      </c>
      <c r="O6" s="5"/>
    </row>
    <row r="7" spans="3:19" x14ac:dyDescent="0.25">
      <c r="C7" s="1">
        <f t="shared" si="4"/>
        <v>43469</v>
      </c>
      <c r="D7">
        <v>61501</v>
      </c>
      <c r="E7">
        <v>12794</v>
      </c>
      <c r="F7">
        <v>8775</v>
      </c>
      <c r="G7">
        <v>20328</v>
      </c>
      <c r="H7">
        <f>'Total Traffic'!D5-'Page Sessions'!D7</f>
        <v>68634</v>
      </c>
      <c r="I7" s="2">
        <f t="shared" si="0"/>
        <v>0.33053121087461995</v>
      </c>
      <c r="J7" s="2"/>
      <c r="K7" s="2">
        <f>D7/'Total Traffic'!D5</f>
        <v>0.47259384485342143</v>
      </c>
      <c r="L7" s="5">
        <f t="shared" si="1"/>
        <v>0.20802913773759776</v>
      </c>
      <c r="M7" s="5">
        <f t="shared" si="2"/>
        <v>0.68586837580115678</v>
      </c>
      <c r="N7" s="5">
        <f t="shared" si="3"/>
        <v>2.3165811965811964</v>
      </c>
      <c r="O7" s="5"/>
    </row>
    <row r="8" spans="3:19" x14ac:dyDescent="0.25">
      <c r="C8" s="1">
        <f t="shared" si="4"/>
        <v>43470</v>
      </c>
      <c r="D8">
        <v>64067</v>
      </c>
      <c r="E8">
        <v>38151</v>
      </c>
      <c r="F8">
        <v>26171</v>
      </c>
      <c r="G8">
        <v>20850</v>
      </c>
      <c r="H8">
        <f>'Total Traffic'!D6-'Page Sessions'!D8</f>
        <v>66126</v>
      </c>
      <c r="I8" s="2">
        <f t="shared" si="0"/>
        <v>0.32544055441959197</v>
      </c>
      <c r="J8" s="2"/>
      <c r="K8" s="2">
        <f>D8/'Total Traffic'!D6</f>
        <v>0.49209250881383793</v>
      </c>
      <c r="L8" s="5">
        <f t="shared" si="1"/>
        <v>0.59548597561927352</v>
      </c>
      <c r="M8" s="5">
        <f t="shared" si="2"/>
        <v>0.68598463998322456</v>
      </c>
      <c r="N8" s="5">
        <f t="shared" si="3"/>
        <v>0.79668335180161243</v>
      </c>
      <c r="O8" s="5"/>
    </row>
    <row r="9" spans="3:19" x14ac:dyDescent="0.25">
      <c r="C9" s="1">
        <f t="shared" si="4"/>
        <v>43471</v>
      </c>
      <c r="D9">
        <v>62430</v>
      </c>
      <c r="E9">
        <v>36502</v>
      </c>
      <c r="F9">
        <v>25281</v>
      </c>
      <c r="G9">
        <v>19610</v>
      </c>
      <c r="H9">
        <f>'Total Traffic'!D7-'Page Sessions'!D9</f>
        <v>67687</v>
      </c>
      <c r="I9" s="2">
        <f t="shared" si="0"/>
        <v>0.31411180522184845</v>
      </c>
      <c r="J9" s="2"/>
      <c r="K9" s="2">
        <f>D9/'Total Traffic'!D7</f>
        <v>0.47979895017561119</v>
      </c>
      <c r="L9" s="5">
        <f t="shared" si="1"/>
        <v>0.58468684927118375</v>
      </c>
      <c r="M9" s="5">
        <f t="shared" si="2"/>
        <v>0.6925921867294943</v>
      </c>
      <c r="N9" s="5">
        <f t="shared" si="3"/>
        <v>0.77568134171907754</v>
      </c>
      <c r="O9" s="5"/>
    </row>
    <row r="10" spans="3:19" x14ac:dyDescent="0.25">
      <c r="C10" s="1">
        <f t="shared" si="4"/>
        <v>43472</v>
      </c>
      <c r="D10">
        <v>64677</v>
      </c>
      <c r="E10">
        <v>37046</v>
      </c>
      <c r="F10">
        <v>24931</v>
      </c>
      <c r="G10">
        <v>19358</v>
      </c>
      <c r="H10">
        <f>'Total Traffic'!D8-'Page Sessions'!D10</f>
        <v>66064</v>
      </c>
      <c r="I10" s="2">
        <f t="shared" si="0"/>
        <v>0.29930268874561283</v>
      </c>
      <c r="J10" s="2"/>
      <c r="K10" s="2">
        <f>D10/'Total Traffic'!D8</f>
        <v>0.49469561958375718</v>
      </c>
      <c r="L10" s="5">
        <f t="shared" si="1"/>
        <v>0.57278476119795285</v>
      </c>
      <c r="M10" s="5">
        <f t="shared" si="2"/>
        <v>0.67297414025805757</v>
      </c>
      <c r="N10" s="5">
        <f t="shared" si="3"/>
        <v>0.77646303798483818</v>
      </c>
      <c r="O10" s="5"/>
    </row>
    <row r="11" spans="3:19" x14ac:dyDescent="0.25">
      <c r="C11" s="1">
        <f t="shared" si="4"/>
        <v>43473</v>
      </c>
      <c r="D11">
        <v>62817</v>
      </c>
      <c r="E11">
        <v>37520</v>
      </c>
      <c r="F11">
        <v>25704</v>
      </c>
      <c r="G11">
        <v>20185</v>
      </c>
      <c r="H11">
        <f>'Total Traffic'!D9-'Page Sessions'!D11</f>
        <v>67563</v>
      </c>
      <c r="I11" s="2">
        <f t="shared" si="0"/>
        <v>0.32133021315885829</v>
      </c>
      <c r="J11" s="2">
        <f>(I11/I4)-1</f>
        <v>5.4417313794713706E-2</v>
      </c>
      <c r="K11" s="2">
        <f>D11/'Total Traffic'!D9</f>
        <v>0.48179935572940635</v>
      </c>
      <c r="L11" s="5">
        <f t="shared" si="1"/>
        <v>0.59729054236910395</v>
      </c>
      <c r="M11" s="5">
        <f t="shared" si="2"/>
        <v>0.68507462686567167</v>
      </c>
      <c r="N11" s="5">
        <f t="shared" si="3"/>
        <v>0.78528633675692494</v>
      </c>
      <c r="O11" s="5">
        <f>(K11/K4)-1</f>
        <v>-5.5584609115919559E-3</v>
      </c>
      <c r="P11" s="2">
        <f>(L11/L4)-1</f>
        <v>1.8065765924277777E-2</v>
      </c>
      <c r="Q11" s="2">
        <f>(M11/M4)-1</f>
        <v>2.0252632939200099E-2</v>
      </c>
      <c r="R11" s="2">
        <f>(N11/N4)-1</f>
        <v>1.5147081683598351E-2</v>
      </c>
      <c r="S11" s="3"/>
    </row>
    <row r="12" spans="3:19" x14ac:dyDescent="0.25">
      <c r="C12" s="1">
        <f t="shared" si="4"/>
        <v>43474</v>
      </c>
      <c r="D12">
        <v>65291</v>
      </c>
      <c r="E12">
        <v>37372</v>
      </c>
      <c r="F12">
        <v>25435</v>
      </c>
      <c r="G12">
        <v>20096</v>
      </c>
      <c r="H12">
        <f>'Total Traffic'!D10-'Page Sessions'!D12</f>
        <v>65711</v>
      </c>
      <c r="I12" s="2">
        <f t="shared" si="0"/>
        <v>0.30779127291663477</v>
      </c>
      <c r="J12" s="2">
        <f t="shared" ref="J12:J75" si="5">(I12/I5)-1</f>
        <v>-5.7275162868136942E-2</v>
      </c>
      <c r="K12" s="2">
        <f>D12/'Total Traffic'!D10</f>
        <v>0.49839697103861008</v>
      </c>
      <c r="L12" s="5">
        <f t="shared" si="1"/>
        <v>0.57239129435910008</v>
      </c>
      <c r="M12" s="5">
        <f t="shared" si="2"/>
        <v>0.68058974633415392</v>
      </c>
      <c r="N12" s="5">
        <f t="shared" si="3"/>
        <v>0.79009239237271478</v>
      </c>
      <c r="O12" s="5">
        <f t="shared" ref="O12:O75" si="6">(K12/K5)-1</f>
        <v>3.2262540286756014E-3</v>
      </c>
      <c r="P12" s="2">
        <f t="shared" ref="P12:R12" si="7">(L12/L5)-1</f>
        <v>-3.3751950807750064E-2</v>
      </c>
      <c r="Q12" s="2">
        <f t="shared" si="7"/>
        <v>-1.9181495863809683E-2</v>
      </c>
      <c r="R12" s="2">
        <f t="shared" si="7"/>
        <v>-5.2643827981359026E-3</v>
      </c>
      <c r="S12" s="3"/>
    </row>
    <row r="13" spans="3:19" x14ac:dyDescent="0.25">
      <c r="C13" s="1">
        <f t="shared" si="4"/>
        <v>43475</v>
      </c>
      <c r="D13">
        <v>62933</v>
      </c>
      <c r="E13">
        <v>36721</v>
      </c>
      <c r="F13">
        <v>24786</v>
      </c>
      <c r="G13">
        <v>19670</v>
      </c>
      <c r="H13">
        <f>'Total Traffic'!D11-'Page Sessions'!D13</f>
        <v>67581</v>
      </c>
      <c r="I13" s="2">
        <f t="shared" si="0"/>
        <v>0.31255462158168212</v>
      </c>
      <c r="J13" s="2">
        <f t="shared" si="5"/>
        <v>-1.8911299606238718E-2</v>
      </c>
      <c r="K13" s="2">
        <f>D13/'Total Traffic'!D11</f>
        <v>0.48219348115910937</v>
      </c>
      <c r="L13" s="5">
        <f t="shared" si="1"/>
        <v>0.5834935566396009</v>
      </c>
      <c r="M13" s="5">
        <f t="shared" si="2"/>
        <v>0.67498161814765389</v>
      </c>
      <c r="N13" s="5">
        <f t="shared" si="3"/>
        <v>0.79359315742758008</v>
      </c>
      <c r="O13" s="5">
        <f t="shared" si="6"/>
        <v>-1.5520387470428276E-2</v>
      </c>
      <c r="P13" s="2">
        <f t="shared" ref="P13:R13" si="8">(L13/L6)-1</f>
        <v>-1.867759069842212E-2</v>
      </c>
      <c r="Q13" s="2">
        <f t="shared" si="8"/>
        <v>-1.2860126594217425E-2</v>
      </c>
      <c r="R13" s="2">
        <f t="shared" si="8"/>
        <v>1.2786404262906448E-2</v>
      </c>
      <c r="S13" s="3"/>
    </row>
    <row r="14" spans="3:19" x14ac:dyDescent="0.25">
      <c r="C14" s="1">
        <f t="shared" si="4"/>
        <v>43476</v>
      </c>
      <c r="D14">
        <v>62214</v>
      </c>
      <c r="E14">
        <v>36948</v>
      </c>
      <c r="F14">
        <v>24799</v>
      </c>
      <c r="G14">
        <v>19236</v>
      </c>
      <c r="H14">
        <f>'Total Traffic'!D12-'Page Sessions'!D14</f>
        <v>68792</v>
      </c>
      <c r="I14" s="2">
        <f t="shared" si="0"/>
        <v>0.30919085736329444</v>
      </c>
      <c r="J14" s="2">
        <f t="shared" si="5"/>
        <v>-6.4563807620032998E-2</v>
      </c>
      <c r="K14" s="2">
        <f>D14/'Total Traffic'!D12</f>
        <v>0.4748942796513137</v>
      </c>
      <c r="L14" s="5">
        <f t="shared" si="1"/>
        <v>0.59388562059986494</v>
      </c>
      <c r="M14" s="5">
        <f t="shared" si="2"/>
        <v>0.67118653242394721</v>
      </c>
      <c r="N14" s="5">
        <f t="shared" si="3"/>
        <v>0.77567643856607116</v>
      </c>
      <c r="O14" s="5">
        <f t="shared" si="6"/>
        <v>4.8676782885435088E-3</v>
      </c>
      <c r="P14" s="2">
        <f>(L14/L7)-1</f>
        <v>1.8548194116392289</v>
      </c>
      <c r="Q14" s="2">
        <f>(M14/M7)-1</f>
        <v>-2.1406211301198796E-2</v>
      </c>
      <c r="R14" s="2">
        <f>(N14/N7)-1</f>
        <v>-0.66516328470989405</v>
      </c>
      <c r="S14" s="3"/>
    </row>
    <row r="15" spans="3:19" x14ac:dyDescent="0.25">
      <c r="C15" s="1">
        <f t="shared" si="4"/>
        <v>43477</v>
      </c>
      <c r="D15">
        <v>63437</v>
      </c>
      <c r="E15">
        <v>36647</v>
      </c>
      <c r="F15">
        <v>25187</v>
      </c>
      <c r="G15">
        <v>19953</v>
      </c>
      <c r="H15">
        <f>'Total Traffic'!D13-'Page Sessions'!D15</f>
        <v>67361</v>
      </c>
      <c r="I15" s="2">
        <f t="shared" si="0"/>
        <v>0.31453252833519868</v>
      </c>
      <c r="J15" s="2">
        <f t="shared" si="5"/>
        <v>-3.3517722165411268E-2</v>
      </c>
      <c r="K15" s="2">
        <f>D15/'Total Traffic'!D13</f>
        <v>0.48499977063869476</v>
      </c>
      <c r="L15" s="5">
        <f t="shared" si="1"/>
        <v>0.57769125273893784</v>
      </c>
      <c r="M15" s="5">
        <f t="shared" si="2"/>
        <v>0.68728681747482745</v>
      </c>
      <c r="N15" s="5">
        <f t="shared" si="3"/>
        <v>0.79219438599277403</v>
      </c>
      <c r="O15" s="5">
        <f t="shared" si="6"/>
        <v>-1.4413424403146968E-2</v>
      </c>
      <c r="P15" s="2">
        <f t="shared" ref="P15:R15" si="9">(L15/L8)-1</f>
        <v>-2.9882690120166311E-2</v>
      </c>
      <c r="Q15" s="2">
        <f t="shared" si="9"/>
        <v>1.8982604211585929E-3</v>
      </c>
      <c r="R15" s="2">
        <f t="shared" si="9"/>
        <v>-5.6345671071035275E-3</v>
      </c>
      <c r="S15" s="3"/>
    </row>
    <row r="16" spans="3:19" x14ac:dyDescent="0.25">
      <c r="C16" s="1">
        <f t="shared" si="4"/>
        <v>43478</v>
      </c>
      <c r="D16">
        <v>63866</v>
      </c>
      <c r="E16">
        <v>36742</v>
      </c>
      <c r="F16">
        <v>24944</v>
      </c>
      <c r="G16">
        <v>19847</v>
      </c>
      <c r="H16">
        <f>'Total Traffic'!D14-'Page Sessions'!D16</f>
        <v>66501</v>
      </c>
      <c r="I16" s="2">
        <f t="shared" si="0"/>
        <v>0.31076002881032161</v>
      </c>
      <c r="J16" s="2">
        <f t="shared" si="5"/>
        <v>-1.0670647698705849E-2</v>
      </c>
      <c r="K16" s="2">
        <f>D16/'Total Traffic'!D14</f>
        <v>0.48989391487109468</v>
      </c>
      <c r="L16" s="5">
        <f t="shared" si="1"/>
        <v>0.57529828077537348</v>
      </c>
      <c r="M16" s="5">
        <f t="shared" si="2"/>
        <v>0.67889608622285125</v>
      </c>
      <c r="N16" s="5">
        <f t="shared" si="3"/>
        <v>0.79566228351507373</v>
      </c>
      <c r="O16" s="5">
        <f t="shared" si="6"/>
        <v>2.1039989128339265E-2</v>
      </c>
      <c r="P16" s="2">
        <f t="shared" ref="P16:R16" si="10">(L16/L9)-1</f>
        <v>-1.6057430584445642E-2</v>
      </c>
      <c r="Q16" s="2">
        <f t="shared" si="10"/>
        <v>-1.9775129966911331E-2</v>
      </c>
      <c r="R16" s="2">
        <f t="shared" si="10"/>
        <v>2.5759214153216803E-2</v>
      </c>
      <c r="S16" s="3"/>
    </row>
    <row r="17" spans="3:19" x14ac:dyDescent="0.25">
      <c r="C17" s="1">
        <f t="shared" si="4"/>
        <v>43479</v>
      </c>
      <c r="D17">
        <v>63100</v>
      </c>
      <c r="E17">
        <v>36194</v>
      </c>
      <c r="F17">
        <v>25140</v>
      </c>
      <c r="G17">
        <v>19654</v>
      </c>
      <c r="H17">
        <f>'Total Traffic'!D15-'Page Sessions'!D17</f>
        <v>67625</v>
      </c>
      <c r="I17" s="2">
        <f t="shared" si="0"/>
        <v>0.31147385103011094</v>
      </c>
      <c r="J17" s="2">
        <f t="shared" si="5"/>
        <v>4.066506163211514E-2</v>
      </c>
      <c r="K17" s="2">
        <f>D17/'Total Traffic'!D15</f>
        <v>0.48269267546375982</v>
      </c>
      <c r="L17" s="5">
        <f t="shared" si="1"/>
        <v>0.57359746434231373</v>
      </c>
      <c r="M17" s="5">
        <f t="shared" si="2"/>
        <v>0.69459026357959885</v>
      </c>
      <c r="N17" s="5">
        <f t="shared" si="3"/>
        <v>0.78178202068416869</v>
      </c>
      <c r="O17" s="5">
        <f t="shared" si="6"/>
        <v>-2.4263291698634393E-2</v>
      </c>
      <c r="P17" s="2">
        <f t="shared" ref="P17:R17" si="11">(L17/L10)-1</f>
        <v>1.4188630693685589E-3</v>
      </c>
      <c r="Q17" s="2">
        <f t="shared" si="11"/>
        <v>3.2120288178164369E-2</v>
      </c>
      <c r="R17" s="2">
        <f t="shared" si="11"/>
        <v>6.8502716022837973E-3</v>
      </c>
      <c r="S17" s="3"/>
    </row>
    <row r="18" spans="3:19" x14ac:dyDescent="0.25">
      <c r="C18" s="1">
        <f t="shared" si="4"/>
        <v>43480</v>
      </c>
      <c r="D18">
        <v>63409</v>
      </c>
      <c r="E18">
        <v>36973</v>
      </c>
      <c r="F18">
        <v>25141</v>
      </c>
      <c r="G18">
        <v>19863</v>
      </c>
      <c r="H18">
        <f>'Total Traffic'!D16-'Page Sessions'!D18</f>
        <v>67333</v>
      </c>
      <c r="I18" s="2">
        <f t="shared" si="0"/>
        <v>0.31325206201012473</v>
      </c>
      <c r="J18" s="2">
        <f t="shared" si="5"/>
        <v>-2.5139718638097386E-2</v>
      </c>
      <c r="K18" s="2">
        <f>D18/'Total Traffic'!D16</f>
        <v>0.48499334567315783</v>
      </c>
      <c r="L18" s="5">
        <f t="shared" si="1"/>
        <v>0.58308757431910296</v>
      </c>
      <c r="M18" s="5">
        <f t="shared" si="2"/>
        <v>0.67998269007113299</v>
      </c>
      <c r="N18" s="5">
        <f t="shared" si="3"/>
        <v>0.79006403882104925</v>
      </c>
      <c r="O18" s="5">
        <f t="shared" si="6"/>
        <v>6.6292947588442175E-3</v>
      </c>
      <c r="P18" s="2">
        <f t="shared" ref="P18:R18" si="12">(L18/L11)-1</f>
        <v>-2.3778993709938967E-2</v>
      </c>
      <c r="Q18" s="2">
        <f t="shared" si="12"/>
        <v>-7.4326746238364549E-3</v>
      </c>
      <c r="R18" s="2">
        <f t="shared" si="12"/>
        <v>6.0840254573322206E-3</v>
      </c>
      <c r="S18" s="3"/>
    </row>
    <row r="19" spans="3:19" x14ac:dyDescent="0.25">
      <c r="C19" s="1">
        <f t="shared" si="4"/>
        <v>43481</v>
      </c>
      <c r="D19">
        <v>63731</v>
      </c>
      <c r="E19">
        <v>38213</v>
      </c>
      <c r="F19">
        <v>26347</v>
      </c>
      <c r="G19">
        <v>20418</v>
      </c>
      <c r="H19">
        <f>'Total Traffic'!D17-'Page Sessions'!D19</f>
        <v>67134</v>
      </c>
      <c r="I19" s="2">
        <f t="shared" si="0"/>
        <v>0.32037783810076731</v>
      </c>
      <c r="J19" s="2">
        <f t="shared" si="5"/>
        <v>4.0893184088236278E-2</v>
      </c>
      <c r="K19" s="2">
        <f>D19/'Total Traffic'!D17</f>
        <v>0.48699805142704311</v>
      </c>
      <c r="L19" s="5">
        <f t="shared" si="1"/>
        <v>0.59959831165366928</v>
      </c>
      <c r="M19" s="5">
        <f t="shared" si="2"/>
        <v>0.68947740297804416</v>
      </c>
      <c r="N19" s="5">
        <f t="shared" si="3"/>
        <v>0.77496489163851667</v>
      </c>
      <c r="O19" s="5">
        <f t="shared" si="6"/>
        <v>-2.2871165504502855E-2</v>
      </c>
      <c r="P19" s="2">
        <f t="shared" ref="P19:R19" si="13">(L19/L12)-1</f>
        <v>4.753219967300959E-2</v>
      </c>
      <c r="Q19" s="2">
        <f t="shared" si="13"/>
        <v>1.3058757778473318E-2</v>
      </c>
      <c r="R19" s="2">
        <f t="shared" si="13"/>
        <v>-1.9146495878499592E-2</v>
      </c>
      <c r="S19" s="3"/>
    </row>
    <row r="20" spans="3:19" x14ac:dyDescent="0.25">
      <c r="C20" s="1">
        <f t="shared" si="4"/>
        <v>43482</v>
      </c>
      <c r="D20">
        <v>64057</v>
      </c>
      <c r="E20">
        <v>37229</v>
      </c>
      <c r="F20">
        <v>25777</v>
      </c>
      <c r="G20">
        <v>20229</v>
      </c>
      <c r="H20">
        <f>'Total Traffic'!D18-'Page Sessions'!D20</f>
        <v>66353</v>
      </c>
      <c r="I20" s="2">
        <f t="shared" si="0"/>
        <v>0.31579686841406873</v>
      </c>
      <c r="J20" s="2">
        <f t="shared" si="5"/>
        <v>1.0373376710858473E-2</v>
      </c>
      <c r="K20" s="2">
        <f>D20/'Total Traffic'!D18</f>
        <v>0.49119699409554485</v>
      </c>
      <c r="L20" s="5">
        <f t="shared" si="1"/>
        <v>0.58118550665813262</v>
      </c>
      <c r="M20" s="5">
        <f t="shared" si="2"/>
        <v>0.69239034086330553</v>
      </c>
      <c r="N20" s="5">
        <f t="shared" si="3"/>
        <v>0.78476936804127706</v>
      </c>
      <c r="O20" s="5">
        <f t="shared" si="6"/>
        <v>1.8671992235964385E-2</v>
      </c>
      <c r="P20" s="2">
        <f t="shared" ref="P20:R20" si="14">(L20/L13)-1</f>
        <v>-3.9555706403350266E-3</v>
      </c>
      <c r="Q20" s="2">
        <f t="shared" si="14"/>
        <v>2.5791402680603648E-2</v>
      </c>
      <c r="R20" s="2">
        <f t="shared" si="14"/>
        <v>-1.1118782090945967E-2</v>
      </c>
      <c r="S20" s="3"/>
    </row>
    <row r="21" spans="3:19" x14ac:dyDescent="0.25">
      <c r="C21" s="1">
        <f t="shared" si="4"/>
        <v>43483</v>
      </c>
      <c r="D21">
        <v>62578</v>
      </c>
      <c r="E21">
        <v>36226</v>
      </c>
      <c r="F21">
        <v>24329</v>
      </c>
      <c r="G21">
        <v>18845</v>
      </c>
      <c r="H21">
        <f>'Total Traffic'!D19-'Page Sessions'!D21</f>
        <v>67902</v>
      </c>
      <c r="I21" s="2">
        <f t="shared" si="0"/>
        <v>0.30114417207325256</v>
      </c>
      <c r="J21" s="2">
        <f t="shared" si="5"/>
        <v>-2.6024978094960738E-2</v>
      </c>
      <c r="K21" s="2">
        <f>D21/'Total Traffic'!D19</f>
        <v>0.47959840588595953</v>
      </c>
      <c r="L21" s="5">
        <f t="shared" si="1"/>
        <v>0.57889354086100542</v>
      </c>
      <c r="M21" s="5">
        <f t="shared" si="2"/>
        <v>0.67158946612929937</v>
      </c>
      <c r="N21" s="5">
        <f t="shared" si="3"/>
        <v>0.77458999547864693</v>
      </c>
      <c r="O21" s="5">
        <f t="shared" si="6"/>
        <v>9.9056283392164879E-3</v>
      </c>
      <c r="P21" s="2">
        <f t="shared" ref="P21:R21" si="15">(L21/L14)-1</f>
        <v>-2.5244052421603547E-2</v>
      </c>
      <c r="Q21" s="2">
        <f t="shared" si="15"/>
        <v>6.0033043854001988E-4</v>
      </c>
      <c r="R21" s="2">
        <f t="shared" si="15"/>
        <v>-1.4006395365477875E-3</v>
      </c>
      <c r="S21" s="3"/>
    </row>
    <row r="22" spans="3:19" x14ac:dyDescent="0.25">
      <c r="C22" s="1">
        <f t="shared" si="4"/>
        <v>43484</v>
      </c>
      <c r="D22">
        <v>63787</v>
      </c>
      <c r="E22">
        <v>37162</v>
      </c>
      <c r="F22">
        <v>25530</v>
      </c>
      <c r="G22">
        <v>19811</v>
      </c>
      <c r="H22">
        <f>'Total Traffic'!D20-'Page Sessions'!D22</f>
        <v>67275</v>
      </c>
      <c r="I22" s="2">
        <f t="shared" si="0"/>
        <v>0.31058052581246964</v>
      </c>
      <c r="J22" s="2">
        <f t="shared" si="5"/>
        <v>-1.2564686214321719E-2</v>
      </c>
      <c r="K22" s="2">
        <f>D22/'Total Traffic'!D20</f>
        <v>0.48669332071843863</v>
      </c>
      <c r="L22" s="5">
        <f t="shared" si="1"/>
        <v>0.58259519964883122</v>
      </c>
      <c r="M22" s="5">
        <f t="shared" si="2"/>
        <v>0.68699208869275064</v>
      </c>
      <c r="N22" s="5">
        <f t="shared" si="3"/>
        <v>0.77598903251077167</v>
      </c>
      <c r="O22" s="5">
        <f t="shared" si="6"/>
        <v>3.4918574858573415E-3</v>
      </c>
      <c r="P22" s="2">
        <f t="shared" ref="P22:R22" si="16">(L22/L15)-1</f>
        <v>8.4888716708846346E-3</v>
      </c>
      <c r="Q22" s="2">
        <f t="shared" si="16"/>
        <v>-4.2882938328381304E-4</v>
      </c>
      <c r="R22" s="2">
        <f t="shared" si="16"/>
        <v>-2.0456284175371819E-2</v>
      </c>
      <c r="S22" s="3"/>
    </row>
    <row r="23" spans="3:19" x14ac:dyDescent="0.25">
      <c r="C23" s="1">
        <f t="shared" si="4"/>
        <v>43485</v>
      </c>
      <c r="D23">
        <v>80250</v>
      </c>
      <c r="E23">
        <v>48125</v>
      </c>
      <c r="F23">
        <v>33456</v>
      </c>
      <c r="G23">
        <v>25891</v>
      </c>
      <c r="H23">
        <f>'Total Traffic'!D21-'Page Sessions'!D23</f>
        <v>83929</v>
      </c>
      <c r="I23" s="2">
        <f t="shared" si="0"/>
        <v>0.32262928348909659</v>
      </c>
      <c r="J23" s="2">
        <f t="shared" si="5"/>
        <v>3.8194277186206715E-2</v>
      </c>
      <c r="K23" s="2">
        <f>D23/'Total Traffic'!D21</f>
        <v>0.48879576559730537</v>
      </c>
      <c r="L23" s="5">
        <f t="shared" si="1"/>
        <v>0.59968847352024923</v>
      </c>
      <c r="M23" s="5">
        <f t="shared" si="2"/>
        <v>0.69518961038961036</v>
      </c>
      <c r="N23" s="5">
        <f t="shared" si="3"/>
        <v>0.77388211382113825</v>
      </c>
      <c r="O23" s="5">
        <f t="shared" si="6"/>
        <v>-2.2416062752652621E-3</v>
      </c>
      <c r="P23" s="2">
        <f t="shared" ref="P23:R23" si="17">(L23/L16)-1</f>
        <v>4.2395733760933973E-2</v>
      </c>
      <c r="Q23" s="2">
        <f t="shared" si="17"/>
        <v>2.4000026657114537E-2</v>
      </c>
      <c r="R23" s="2">
        <f t="shared" si="17"/>
        <v>-2.7373635957350095E-2</v>
      </c>
      <c r="S23" s="3"/>
    </row>
    <row r="24" spans="3:19" x14ac:dyDescent="0.25">
      <c r="C24" s="1">
        <f t="shared" si="4"/>
        <v>43486</v>
      </c>
      <c r="D24">
        <v>63362</v>
      </c>
      <c r="E24">
        <v>37282</v>
      </c>
      <c r="F24">
        <v>25978</v>
      </c>
      <c r="G24">
        <v>20546</v>
      </c>
      <c r="H24">
        <f>'Total Traffic'!D22-'Page Sessions'!D24</f>
        <v>67526</v>
      </c>
      <c r="I24" s="2">
        <f t="shared" si="0"/>
        <v>0.32426375430068494</v>
      </c>
      <c r="J24" s="2">
        <f t="shared" si="5"/>
        <v>4.106252652758835E-2</v>
      </c>
      <c r="K24" s="2">
        <f>D24/'Total Traffic'!D22</f>
        <v>0.48409327058248275</v>
      </c>
      <c r="L24" s="5">
        <f t="shared" si="1"/>
        <v>0.58839683090811523</v>
      </c>
      <c r="M24" s="5">
        <f t="shared" si="2"/>
        <v>0.69679738211469344</v>
      </c>
      <c r="N24" s="5">
        <f t="shared" si="3"/>
        <v>0.79089999230117791</v>
      </c>
      <c r="O24" s="5">
        <f t="shared" si="6"/>
        <v>2.9016291108565628E-3</v>
      </c>
      <c r="P24" s="2">
        <f t="shared" ref="P24:R24" si="18">(L24/L17)-1</f>
        <v>2.5800962322541698E-2</v>
      </c>
      <c r="Q24" s="2">
        <f t="shared" si="18"/>
        <v>3.1775834629759192E-3</v>
      </c>
      <c r="R24" s="2">
        <f t="shared" si="18"/>
        <v>1.1663061282772613E-2</v>
      </c>
      <c r="S24" s="3"/>
    </row>
    <row r="25" spans="3:19" x14ac:dyDescent="0.25">
      <c r="C25" s="1">
        <f t="shared" si="4"/>
        <v>43487</v>
      </c>
      <c r="D25">
        <v>62565</v>
      </c>
      <c r="E25">
        <v>37513</v>
      </c>
      <c r="F25">
        <v>9178</v>
      </c>
      <c r="G25">
        <v>7303</v>
      </c>
      <c r="H25">
        <f>'Total Traffic'!D23-'Page Sessions'!D25</f>
        <v>68079</v>
      </c>
      <c r="I25" s="2">
        <f t="shared" si="0"/>
        <v>0.11672660433149525</v>
      </c>
      <c r="J25" s="2">
        <f t="shared" si="5"/>
        <v>-0.62737163298314536</v>
      </c>
      <c r="K25" s="2">
        <f>D25/'Total Traffic'!D23</f>
        <v>0.4788968494534766</v>
      </c>
      <c r="L25" s="5">
        <f t="shared" si="1"/>
        <v>0.59958443219052182</v>
      </c>
      <c r="M25" s="5">
        <f t="shared" si="2"/>
        <v>0.24466185055847306</v>
      </c>
      <c r="N25" s="5">
        <f t="shared" si="3"/>
        <v>0.79570712573545432</v>
      </c>
      <c r="O25" s="5">
        <f t="shared" si="6"/>
        <v>-1.2570267765673049E-2</v>
      </c>
      <c r="P25" s="2">
        <f t="shared" ref="P25:R25" si="19">(L25/L18)-1</f>
        <v>2.8292247336402232E-2</v>
      </c>
      <c r="Q25" s="2">
        <f t="shared" si="19"/>
        <v>-0.64019400180190034</v>
      </c>
      <c r="R25" s="2">
        <f t="shared" si="19"/>
        <v>7.1425690034263578E-3</v>
      </c>
      <c r="S25" s="3"/>
    </row>
    <row r="26" spans="3:19" x14ac:dyDescent="0.25">
      <c r="C26" s="1">
        <f t="shared" si="4"/>
        <v>43488</v>
      </c>
      <c r="D26">
        <v>63250</v>
      </c>
      <c r="E26">
        <v>37760</v>
      </c>
      <c r="F26">
        <v>26262</v>
      </c>
      <c r="G26">
        <v>20318</v>
      </c>
      <c r="H26">
        <f>'Total Traffic'!D24-'Page Sessions'!D26</f>
        <v>67002</v>
      </c>
      <c r="I26" s="2">
        <f t="shared" si="0"/>
        <v>0.32123320158102769</v>
      </c>
      <c r="J26" s="2">
        <f t="shared" si="5"/>
        <v>2.6698584562874217E-3</v>
      </c>
      <c r="K26" s="2">
        <f>D26/'Total Traffic'!D24</f>
        <v>0.48559715013972915</v>
      </c>
      <c r="L26" s="5">
        <f t="shared" si="1"/>
        <v>0.59699604743083001</v>
      </c>
      <c r="M26" s="5">
        <f t="shared" si="2"/>
        <v>0.69549788135593216</v>
      </c>
      <c r="N26" s="5">
        <f t="shared" si="3"/>
        <v>0.77366537202040975</v>
      </c>
      <c r="O26" s="5">
        <f t="shared" si="6"/>
        <v>-2.8766055289316528E-3</v>
      </c>
      <c r="P26" s="2">
        <f t="shared" ref="P26:R26" si="20">(L26/L19)-1</f>
        <v>-4.3400125922008481E-3</v>
      </c>
      <c r="Q26" s="2">
        <f t="shared" si="20"/>
        <v>8.7319444435507432E-3</v>
      </c>
      <c r="R26" s="2">
        <f t="shared" si="20"/>
        <v>-1.6768754715575929E-3</v>
      </c>
      <c r="S26" s="3"/>
    </row>
    <row r="27" spans="3:19" x14ac:dyDescent="0.25">
      <c r="C27" s="1">
        <f t="shared" si="4"/>
        <v>43489</v>
      </c>
      <c r="D27">
        <v>61707</v>
      </c>
      <c r="E27">
        <v>35808</v>
      </c>
      <c r="F27">
        <v>24324</v>
      </c>
      <c r="G27">
        <v>18814</v>
      </c>
      <c r="H27">
        <f>'Total Traffic'!D25-'Page Sessions'!D27</f>
        <v>68422</v>
      </c>
      <c r="I27" s="2">
        <f t="shared" si="0"/>
        <v>0.30489247573208872</v>
      </c>
      <c r="J27" s="2">
        <f t="shared" si="5"/>
        <v>-3.4529768254960347E-2</v>
      </c>
      <c r="K27" s="2">
        <f>D27/'Total Traffic'!D25</f>
        <v>0.47419867977161123</v>
      </c>
      <c r="L27" s="5">
        <f t="shared" si="1"/>
        <v>0.58029072876659049</v>
      </c>
      <c r="M27" s="5">
        <f t="shared" si="2"/>
        <v>0.67928954423592491</v>
      </c>
      <c r="N27" s="5">
        <f t="shared" si="3"/>
        <v>0.7734747574412103</v>
      </c>
      <c r="O27" s="5">
        <f t="shared" si="6"/>
        <v>-3.4605900541458068E-2</v>
      </c>
      <c r="P27" s="2">
        <f t="shared" ref="P27:R27" si="21">(L27/L20)-1</f>
        <v>-1.539573649534387E-3</v>
      </c>
      <c r="Q27" s="2">
        <f t="shared" si="21"/>
        <v>-1.8921114080022949E-2</v>
      </c>
      <c r="R27" s="2">
        <f t="shared" si="21"/>
        <v>-1.4392267410050952E-2</v>
      </c>
      <c r="S27" s="3"/>
    </row>
    <row r="28" spans="3:19" x14ac:dyDescent="0.25">
      <c r="C28" s="1">
        <f t="shared" si="4"/>
        <v>43490</v>
      </c>
      <c r="D28">
        <v>63279</v>
      </c>
      <c r="E28">
        <v>36847</v>
      </c>
      <c r="F28">
        <v>25778</v>
      </c>
      <c r="G28">
        <v>20063</v>
      </c>
      <c r="H28">
        <f>'Total Traffic'!D26-'Page Sessions'!D28</f>
        <v>66980</v>
      </c>
      <c r="I28" s="2">
        <f t="shared" si="0"/>
        <v>0.31705621138134293</v>
      </c>
      <c r="J28" s="2">
        <f t="shared" si="5"/>
        <v>5.2838609489078259E-2</v>
      </c>
      <c r="K28" s="2">
        <f>D28/'Total Traffic'!D26</f>
        <v>0.48579368796014094</v>
      </c>
      <c r="L28" s="5">
        <f t="shared" si="1"/>
        <v>0.58229428404367956</v>
      </c>
      <c r="M28" s="5">
        <f t="shared" si="2"/>
        <v>0.69959562515265827</v>
      </c>
      <c r="N28" s="5">
        <f t="shared" si="3"/>
        <v>0.77829932500581889</v>
      </c>
      <c r="O28" s="5">
        <f t="shared" si="6"/>
        <v>1.2917645259343358E-2</v>
      </c>
      <c r="P28" s="2">
        <f t="shared" ref="P28:R28" si="22">(L28/L21)-1</f>
        <v>5.874557138115799E-3</v>
      </c>
      <c r="Q28" s="2">
        <f t="shared" si="22"/>
        <v>4.1701307771803142E-2</v>
      </c>
      <c r="R28" s="2">
        <f t="shared" si="22"/>
        <v>4.7887650871087928E-3</v>
      </c>
      <c r="S28" s="3"/>
    </row>
    <row r="29" spans="3:19" x14ac:dyDescent="0.25">
      <c r="C29" s="1">
        <f t="shared" si="4"/>
        <v>43491</v>
      </c>
      <c r="D29">
        <v>64841</v>
      </c>
      <c r="E29">
        <v>37990</v>
      </c>
      <c r="F29">
        <v>26011</v>
      </c>
      <c r="G29">
        <v>20189</v>
      </c>
      <c r="H29">
        <f>'Total Traffic'!D27-'Page Sessions'!D29</f>
        <v>66125</v>
      </c>
      <c r="I29" s="2">
        <f t="shared" si="0"/>
        <v>0.31136163846948689</v>
      </c>
      <c r="J29" s="2">
        <f t="shared" si="5"/>
        <v>2.5150084828207131E-3</v>
      </c>
      <c r="K29" s="2">
        <f>D29/'Total Traffic'!D27</f>
        <v>0.49509796435716141</v>
      </c>
      <c r="L29" s="5">
        <f t="shared" si="1"/>
        <v>0.58589472710167945</v>
      </c>
      <c r="M29" s="5">
        <f t="shared" si="2"/>
        <v>0.6846801789944722</v>
      </c>
      <c r="N29" s="5">
        <f t="shared" si="3"/>
        <v>0.776171619699358</v>
      </c>
      <c r="O29" s="5">
        <f t="shared" si="6"/>
        <v>1.7268869904185635E-2</v>
      </c>
      <c r="P29" s="2">
        <f t="shared" ref="P29:R29" si="23">(L29/L22)-1</f>
        <v>5.6634992098065773E-3</v>
      </c>
      <c r="Q29" s="2">
        <f t="shared" si="23"/>
        <v>-3.365263932919027E-3</v>
      </c>
      <c r="R29" s="2">
        <f t="shared" si="23"/>
        <v>2.3529609432171306E-4</v>
      </c>
      <c r="S29" s="3"/>
    </row>
    <row r="30" spans="3:19" x14ac:dyDescent="0.25">
      <c r="C30" s="1">
        <f t="shared" si="4"/>
        <v>43492</v>
      </c>
      <c r="D30">
        <v>63772</v>
      </c>
      <c r="E30">
        <v>37963</v>
      </c>
      <c r="F30">
        <v>26456</v>
      </c>
      <c r="G30">
        <v>20553</v>
      </c>
      <c r="H30">
        <f>'Total Traffic'!D28-'Page Sessions'!D30</f>
        <v>66989</v>
      </c>
      <c r="I30" s="2">
        <f t="shared" si="0"/>
        <v>0.32228877877438372</v>
      </c>
      <c r="J30" s="2">
        <f t="shared" si="5"/>
        <v>-1.0554054828205706E-3</v>
      </c>
      <c r="K30" s="2">
        <f>D30/'Total Traffic'!D28</f>
        <v>0.48769893163863842</v>
      </c>
      <c r="L30" s="5">
        <f t="shared" si="1"/>
        <v>0.59529260490497393</v>
      </c>
      <c r="M30" s="5">
        <f t="shared" si="2"/>
        <v>0.69688907620577933</v>
      </c>
      <c r="N30" s="5">
        <f t="shared" si="3"/>
        <v>0.77687481100695499</v>
      </c>
      <c r="O30" s="5">
        <f t="shared" si="6"/>
        <v>-2.2439514330215848E-3</v>
      </c>
      <c r="P30" s="2">
        <f t="shared" ref="P30:R30" si="24">(L30/L23)-1</f>
        <v>-7.3302536389785455E-3</v>
      </c>
      <c r="Q30" s="2">
        <f t="shared" si="24"/>
        <v>2.4446076160669072E-3</v>
      </c>
      <c r="R30" s="2">
        <f t="shared" si="24"/>
        <v>3.8671228244828715E-3</v>
      </c>
      <c r="S30" s="3"/>
    </row>
    <row r="31" spans="3:19" x14ac:dyDescent="0.25">
      <c r="C31" s="1">
        <f t="shared" si="4"/>
        <v>43493</v>
      </c>
      <c r="D31">
        <v>64906</v>
      </c>
      <c r="E31">
        <v>37528</v>
      </c>
      <c r="F31">
        <v>25481</v>
      </c>
      <c r="G31">
        <v>19747</v>
      </c>
      <c r="H31">
        <f>'Total Traffic'!D29-'Page Sessions'!D31</f>
        <v>65534</v>
      </c>
      <c r="I31" s="2">
        <f t="shared" si="0"/>
        <v>0.30423997781406958</v>
      </c>
      <c r="J31" s="2">
        <f t="shared" si="5"/>
        <v>-6.1751510062538761E-2</v>
      </c>
      <c r="K31" s="2">
        <f>D31/'Total Traffic'!D29</f>
        <v>0.4975927629561484</v>
      </c>
      <c r="L31" s="5">
        <f t="shared" si="1"/>
        <v>0.5781899978430346</v>
      </c>
      <c r="M31" s="5">
        <f t="shared" si="2"/>
        <v>0.67898635685354936</v>
      </c>
      <c r="N31" s="5">
        <f t="shared" si="3"/>
        <v>0.77496958518111536</v>
      </c>
      <c r="O31" s="5">
        <f t="shared" si="6"/>
        <v>2.7886139291757761E-2</v>
      </c>
      <c r="P31" s="2">
        <f t="shared" ref="P31:R31" si="25">(L31/L24)-1</f>
        <v>-1.7346852547332148E-2</v>
      </c>
      <c r="Q31" s="2">
        <f t="shared" si="25"/>
        <v>-2.5561268911616475E-2</v>
      </c>
      <c r="R31" s="2">
        <f t="shared" si="25"/>
        <v>-2.0142125774602615E-2</v>
      </c>
      <c r="S31" s="3"/>
    </row>
    <row r="32" spans="3:19" x14ac:dyDescent="0.25">
      <c r="C32" s="1">
        <f t="shared" si="4"/>
        <v>43494</v>
      </c>
      <c r="D32">
        <v>64439</v>
      </c>
      <c r="E32">
        <v>37458</v>
      </c>
      <c r="F32">
        <v>26141</v>
      </c>
      <c r="G32">
        <v>20204</v>
      </c>
      <c r="H32">
        <f>'Total Traffic'!D30-'Page Sessions'!D32</f>
        <v>65610</v>
      </c>
      <c r="I32" s="2">
        <f t="shared" si="0"/>
        <v>0.31353683328419124</v>
      </c>
      <c r="J32" s="2">
        <f t="shared" si="5"/>
        <v>1.6860785943345782</v>
      </c>
      <c r="K32" s="2">
        <f>D32/'Total Traffic'!D30</f>
        <v>0.4954978508100793</v>
      </c>
      <c r="L32" s="5">
        <f t="shared" si="1"/>
        <v>0.58129393690156583</v>
      </c>
      <c r="M32" s="5">
        <f t="shared" si="2"/>
        <v>0.69787495328100801</v>
      </c>
      <c r="N32" s="5">
        <f t="shared" si="3"/>
        <v>0.77288550552771507</v>
      </c>
      <c r="O32" s="5">
        <f t="shared" si="6"/>
        <v>3.4665087848349652E-2</v>
      </c>
      <c r="P32" s="2">
        <f t="shared" ref="P32:R32" si="26">(L32/L25)-1</f>
        <v>-3.0505287173873907E-2</v>
      </c>
      <c r="Q32" s="2">
        <f t="shared" si="26"/>
        <v>1.8524060930954951</v>
      </c>
      <c r="R32" s="2">
        <f t="shared" si="26"/>
        <v>-2.8680929791405019E-2</v>
      </c>
      <c r="S32" s="3"/>
    </row>
    <row r="33" spans="3:19" x14ac:dyDescent="0.25">
      <c r="C33" s="1">
        <f t="shared" si="4"/>
        <v>43495</v>
      </c>
      <c r="D33">
        <v>63963</v>
      </c>
      <c r="E33">
        <v>36868</v>
      </c>
      <c r="F33">
        <v>25409</v>
      </c>
      <c r="G33">
        <v>20113</v>
      </c>
      <c r="H33">
        <f>'Total Traffic'!D31-'Page Sessions'!D33</f>
        <v>66096</v>
      </c>
      <c r="I33" s="2">
        <f t="shared" si="0"/>
        <v>0.31444741491174583</v>
      </c>
      <c r="J33" s="2">
        <f t="shared" si="5"/>
        <v>-2.1124175944092882E-2</v>
      </c>
      <c r="K33" s="2">
        <f>D33/'Total Traffic'!D31</f>
        <v>0.49179987544114595</v>
      </c>
      <c r="L33" s="5">
        <f t="shared" si="1"/>
        <v>0.57639572878070133</v>
      </c>
      <c r="M33" s="5">
        <f t="shared" si="2"/>
        <v>0.68918845611370294</v>
      </c>
      <c r="N33" s="5">
        <f t="shared" si="3"/>
        <v>0.79156991617143535</v>
      </c>
      <c r="O33" s="5">
        <f t="shared" si="6"/>
        <v>1.2773397248381668E-2</v>
      </c>
      <c r="P33" s="2">
        <f t="shared" ref="P33:R33" si="27">(L33/L26)-1</f>
        <v>-3.4506624857538082E-2</v>
      </c>
      <c r="Q33" s="2">
        <f t="shared" si="27"/>
        <v>-9.0718108729942459E-3</v>
      </c>
      <c r="R33" s="2">
        <f t="shared" si="27"/>
        <v>2.3142491312837521E-2</v>
      </c>
      <c r="S33" s="3"/>
    </row>
    <row r="34" spans="3:19" x14ac:dyDescent="0.25">
      <c r="C34" s="1">
        <f t="shared" si="4"/>
        <v>43496</v>
      </c>
      <c r="D34">
        <v>64584</v>
      </c>
      <c r="E34">
        <v>38072</v>
      </c>
      <c r="F34">
        <v>25649</v>
      </c>
      <c r="G34">
        <v>20280</v>
      </c>
      <c r="H34">
        <f>'Total Traffic'!D32-'Page Sessions'!D34</f>
        <v>65706</v>
      </c>
      <c r="I34" s="2">
        <f t="shared" si="0"/>
        <v>0.3140096618357488</v>
      </c>
      <c r="J34" s="2">
        <f t="shared" si="5"/>
        <v>2.9902955400156861E-2</v>
      </c>
      <c r="K34" s="2">
        <f>D34/'Total Traffic'!D32</f>
        <v>0.49569422058484919</v>
      </c>
      <c r="L34" s="5">
        <f t="shared" si="1"/>
        <v>0.58949585036541563</v>
      </c>
      <c r="M34" s="5">
        <f t="shared" si="2"/>
        <v>0.67369720529523014</v>
      </c>
      <c r="N34" s="5">
        <f t="shared" si="3"/>
        <v>0.79067410035478969</v>
      </c>
      <c r="O34" s="5">
        <f t="shared" si="6"/>
        <v>4.5330241795677129E-2</v>
      </c>
      <c r="P34" s="2">
        <f t="shared" ref="P34:R34" si="28">(L34/L27)-1</f>
        <v>1.5862947902667068E-2</v>
      </c>
      <c r="Q34" s="2">
        <f t="shared" si="28"/>
        <v>-8.2326292052458117E-3</v>
      </c>
      <c r="R34" s="2">
        <f t="shared" si="28"/>
        <v>2.2236463114165161E-2</v>
      </c>
      <c r="S34" s="3"/>
    </row>
    <row r="35" spans="3:19" x14ac:dyDescent="0.25">
      <c r="C35" s="1">
        <f t="shared" si="4"/>
        <v>43497</v>
      </c>
      <c r="D35">
        <v>62801</v>
      </c>
      <c r="E35">
        <v>37247</v>
      </c>
      <c r="F35">
        <v>25145</v>
      </c>
      <c r="G35">
        <v>19625</v>
      </c>
      <c r="H35">
        <f>'Total Traffic'!D33-'Page Sessions'!D35</f>
        <v>67790</v>
      </c>
      <c r="I35" s="2">
        <f t="shared" si="0"/>
        <v>0.31249502396458656</v>
      </c>
      <c r="J35" s="2">
        <f t="shared" si="5"/>
        <v>-1.4386052860735021E-2</v>
      </c>
      <c r="K35" s="2">
        <f>D35/'Total Traffic'!D33</f>
        <v>0.48089837737669516</v>
      </c>
      <c r="L35" s="5">
        <f t="shared" si="1"/>
        <v>0.59309565134313147</v>
      </c>
      <c r="M35" s="5">
        <f t="shared" si="2"/>
        <v>0.67508792654441974</v>
      </c>
      <c r="N35" s="5">
        <f t="shared" si="3"/>
        <v>0.7804732551203023</v>
      </c>
      <c r="O35" s="5">
        <f t="shared" si="6"/>
        <v>-1.0076933284171141E-2</v>
      </c>
      <c r="P35" s="2">
        <f t="shared" ref="P35:R35" si="29">(L35/L28)-1</f>
        <v>1.8549670837300747E-2</v>
      </c>
      <c r="Q35" s="2">
        <f t="shared" si="29"/>
        <v>-3.5031234797803013E-2</v>
      </c>
      <c r="R35" s="2">
        <f t="shared" si="29"/>
        <v>2.7931800075340352E-3</v>
      </c>
      <c r="S35" s="3"/>
    </row>
    <row r="36" spans="3:19" x14ac:dyDescent="0.25">
      <c r="C36" s="1">
        <f t="shared" si="4"/>
        <v>43498</v>
      </c>
      <c r="D36">
        <v>61964</v>
      </c>
      <c r="E36">
        <v>36899</v>
      </c>
      <c r="F36">
        <v>9018</v>
      </c>
      <c r="G36">
        <v>7179</v>
      </c>
      <c r="H36">
        <f>'Total Traffic'!D34-'Page Sessions'!D36</f>
        <v>68433</v>
      </c>
      <c r="I36" s="2">
        <f t="shared" si="0"/>
        <v>0.11585759473242528</v>
      </c>
      <c r="J36" s="2">
        <f t="shared" si="5"/>
        <v>-0.62790022784460908</v>
      </c>
      <c r="K36" s="2">
        <f>D36/'Total Traffic'!D34</f>
        <v>0.47519498147963529</v>
      </c>
      <c r="L36" s="5">
        <f t="shared" si="1"/>
        <v>0.59549093021754562</v>
      </c>
      <c r="M36" s="5">
        <f t="shared" si="2"/>
        <v>0.24439686712377029</v>
      </c>
      <c r="N36" s="5">
        <f t="shared" si="3"/>
        <v>0.79607451763140391</v>
      </c>
      <c r="O36" s="5">
        <f t="shared" si="6"/>
        <v>-4.0200090306103942E-2</v>
      </c>
      <c r="P36" s="2">
        <f t="shared" ref="P36:R36" si="30">(L36/L29)-1</f>
        <v>1.6378715615579909E-2</v>
      </c>
      <c r="Q36" s="2">
        <f t="shared" si="30"/>
        <v>-0.64304959509315163</v>
      </c>
      <c r="R36" s="2">
        <f t="shared" si="30"/>
        <v>2.56423932889418E-2</v>
      </c>
      <c r="S36" s="3"/>
    </row>
    <row r="37" spans="3:19" x14ac:dyDescent="0.25">
      <c r="C37" s="1">
        <f t="shared" si="4"/>
        <v>43499</v>
      </c>
      <c r="D37">
        <v>64745</v>
      </c>
      <c r="E37">
        <v>37869</v>
      </c>
      <c r="F37">
        <v>25474</v>
      </c>
      <c r="G37">
        <v>20152</v>
      </c>
      <c r="H37">
        <f>'Total Traffic'!D35-'Page Sessions'!D37</f>
        <v>65921</v>
      </c>
      <c r="I37" s="2">
        <f t="shared" si="0"/>
        <v>0.31125183411846474</v>
      </c>
      <c r="J37" s="2">
        <f t="shared" si="5"/>
        <v>-3.4245513287464835E-2</v>
      </c>
      <c r="K37" s="2">
        <f>D37/'Total Traffic'!D35</f>
        <v>0.4954999770406992</v>
      </c>
      <c r="L37" s="5">
        <f t="shared" si="1"/>
        <v>0.5848945864545525</v>
      </c>
      <c r="M37" s="5">
        <f t="shared" si="2"/>
        <v>0.67268742242995594</v>
      </c>
      <c r="N37" s="5">
        <f t="shared" si="3"/>
        <v>0.79108110230038475</v>
      </c>
      <c r="O37" s="5">
        <f t="shared" si="6"/>
        <v>1.5995617164568543E-2</v>
      </c>
      <c r="P37" s="2">
        <f t="shared" ref="P37:R37" si="31">(L37/L30)-1</f>
        <v>-1.7467071427976544E-2</v>
      </c>
      <c r="Q37" s="2">
        <f t="shared" si="31"/>
        <v>-3.4728129055472623E-2</v>
      </c>
      <c r="R37" s="2">
        <f t="shared" si="31"/>
        <v>1.8286461463483672E-2</v>
      </c>
      <c r="S37" s="3"/>
    </row>
    <row r="38" spans="3:19" x14ac:dyDescent="0.25">
      <c r="C38" s="1">
        <f t="shared" si="4"/>
        <v>43500</v>
      </c>
      <c r="D38">
        <v>64478</v>
      </c>
      <c r="E38">
        <v>38254</v>
      </c>
      <c r="F38">
        <v>26211</v>
      </c>
      <c r="G38">
        <v>20276</v>
      </c>
      <c r="H38">
        <f>'Total Traffic'!D36-'Page Sessions'!D38</f>
        <v>66177</v>
      </c>
      <c r="I38" s="2">
        <f t="shared" si="0"/>
        <v>0.31446384813424733</v>
      </c>
      <c r="J38" s="2">
        <f t="shared" si="5"/>
        <v>3.3604624854482124E-2</v>
      </c>
      <c r="K38" s="2">
        <f>D38/'Total Traffic'!D36</f>
        <v>0.49349814396693581</v>
      </c>
      <c r="L38" s="5">
        <f t="shared" si="1"/>
        <v>0.59328763299109777</v>
      </c>
      <c r="M38" s="5">
        <f t="shared" si="2"/>
        <v>0.6851832488105819</v>
      </c>
      <c r="N38" s="5">
        <f t="shared" si="3"/>
        <v>0.77356834916638051</v>
      </c>
      <c r="O38" s="5">
        <f t="shared" si="6"/>
        <v>-8.2288555904368454E-3</v>
      </c>
      <c r="P38" s="2">
        <f t="shared" ref="P38:R38" si="32">(L38/L31)-1</f>
        <v>2.6111892638035261E-2</v>
      </c>
      <c r="Q38" s="2">
        <f t="shared" si="32"/>
        <v>9.1266811099846024E-3</v>
      </c>
      <c r="R38" s="2">
        <f t="shared" si="32"/>
        <v>-1.8081174300632608E-3</v>
      </c>
      <c r="S38" s="3"/>
    </row>
    <row r="39" spans="3:19" x14ac:dyDescent="0.25">
      <c r="C39" s="1">
        <f t="shared" si="4"/>
        <v>43501</v>
      </c>
      <c r="D39">
        <v>64293</v>
      </c>
      <c r="E39">
        <v>37334</v>
      </c>
      <c r="F39">
        <v>25454</v>
      </c>
      <c r="G39">
        <v>20335</v>
      </c>
      <c r="H39">
        <f>'Total Traffic'!D37-'Page Sessions'!D39</f>
        <v>66464</v>
      </c>
      <c r="I39" s="2">
        <f t="shared" si="0"/>
        <v>0.31628637643289315</v>
      </c>
      <c r="J39" s="2">
        <f t="shared" si="5"/>
        <v>8.7694422371411562E-3</v>
      </c>
      <c r="K39" s="2">
        <f>D39/'Total Traffic'!D37</f>
        <v>0.49169834119779438</v>
      </c>
      <c r="L39" s="5">
        <f t="shared" si="1"/>
        <v>0.58068530011043196</v>
      </c>
      <c r="M39" s="5">
        <f t="shared" si="2"/>
        <v>0.68179139658220389</v>
      </c>
      <c r="N39" s="5">
        <f t="shared" si="3"/>
        <v>0.79889211911683822</v>
      </c>
      <c r="O39" s="5">
        <f t="shared" si="6"/>
        <v>-7.6680647677345171E-3</v>
      </c>
      <c r="P39" s="2">
        <f t="shared" ref="P39:R39" si="33">(L39/L32)-1</f>
        <v>-1.0470379140337105E-3</v>
      </c>
      <c r="Q39" s="2">
        <f t="shared" si="33"/>
        <v>-2.304647361706913E-2</v>
      </c>
      <c r="R39" s="2">
        <f t="shared" si="33"/>
        <v>3.3648727273474011E-2</v>
      </c>
      <c r="S39" s="3"/>
    </row>
    <row r="40" spans="3:19" x14ac:dyDescent="0.25">
      <c r="C40" s="1">
        <f t="shared" si="4"/>
        <v>43502</v>
      </c>
      <c r="D40">
        <v>64211</v>
      </c>
      <c r="E40">
        <v>37364</v>
      </c>
      <c r="F40">
        <v>25198</v>
      </c>
      <c r="G40">
        <v>19586</v>
      </c>
      <c r="H40">
        <f>'Total Traffic'!D38-'Page Sessions'!D40</f>
        <v>66273</v>
      </c>
      <c r="I40" s="2">
        <f t="shared" si="0"/>
        <v>0.30502561866346889</v>
      </c>
      <c r="J40" s="2">
        <f t="shared" si="5"/>
        <v>-2.9963026571299012E-2</v>
      </c>
      <c r="K40" s="2">
        <f>D40/'Total Traffic'!D38</f>
        <v>0.49209864811011311</v>
      </c>
      <c r="L40" s="5">
        <f t="shared" si="1"/>
        <v>0.58189406799458032</v>
      </c>
      <c r="M40" s="5">
        <f t="shared" si="2"/>
        <v>0.67439246333369018</v>
      </c>
      <c r="N40" s="5">
        <f t="shared" si="3"/>
        <v>0.77728391142154141</v>
      </c>
      <c r="O40" s="5">
        <f t="shared" si="6"/>
        <v>6.075086308210409E-4</v>
      </c>
      <c r="P40" s="2">
        <f t="shared" ref="P40:R40" si="34">(L40/L33)-1</f>
        <v>9.5391741113524109E-3</v>
      </c>
      <c r="Q40" s="2">
        <f t="shared" si="34"/>
        <v>-2.1468718242099616E-2</v>
      </c>
      <c r="R40" s="2">
        <f t="shared" si="34"/>
        <v>-1.8047685312487238E-2</v>
      </c>
      <c r="S40" s="3"/>
    </row>
    <row r="41" spans="3:19" x14ac:dyDescent="0.25">
      <c r="C41" s="1">
        <f t="shared" si="4"/>
        <v>43503</v>
      </c>
      <c r="D41">
        <v>63178</v>
      </c>
      <c r="E41">
        <v>37091</v>
      </c>
      <c r="F41">
        <v>24865</v>
      </c>
      <c r="G41">
        <v>19685</v>
      </c>
      <c r="H41">
        <f>'Total Traffic'!D39-'Page Sessions'!D41</f>
        <v>67113</v>
      </c>
      <c r="I41" s="2">
        <f t="shared" si="0"/>
        <v>0.31157998037291462</v>
      </c>
      <c r="J41" s="2">
        <f t="shared" si="5"/>
        <v>-7.7376009662565304E-3</v>
      </c>
      <c r="K41" s="2">
        <f>D41/'Total Traffic'!D39</f>
        <v>0.48489918720402791</v>
      </c>
      <c r="L41" s="5">
        <f t="shared" si="1"/>
        <v>0.58708727721675269</v>
      </c>
      <c r="M41" s="5">
        <f t="shared" si="2"/>
        <v>0.67037825887681646</v>
      </c>
      <c r="N41" s="5">
        <f t="shared" si="3"/>
        <v>0.79167504524431931</v>
      </c>
      <c r="O41" s="5">
        <f t="shared" si="6"/>
        <v>-2.1777605895999086E-2</v>
      </c>
      <c r="P41" s="2">
        <f t="shared" ref="P41:R41" si="35">(L41/L34)-1</f>
        <v>-4.0858186655087225E-3</v>
      </c>
      <c r="Q41" s="2">
        <f t="shared" si="35"/>
        <v>-4.9264660626865409E-3</v>
      </c>
      <c r="R41" s="2">
        <f t="shared" si="35"/>
        <v>1.2659386327191768E-3</v>
      </c>
      <c r="S41" s="3"/>
    </row>
    <row r="42" spans="3:19" x14ac:dyDescent="0.25">
      <c r="C42" s="1">
        <f t="shared" si="4"/>
        <v>43504</v>
      </c>
      <c r="D42">
        <v>64522</v>
      </c>
      <c r="E42">
        <v>38216</v>
      </c>
      <c r="F42">
        <v>25673</v>
      </c>
      <c r="G42">
        <v>20381</v>
      </c>
      <c r="H42">
        <f>'Total Traffic'!D40-'Page Sessions'!D42</f>
        <v>66249</v>
      </c>
      <c r="I42" s="2">
        <f t="shared" si="0"/>
        <v>0.31587675521527542</v>
      </c>
      <c r="J42" s="2">
        <f t="shared" si="5"/>
        <v>1.0821712319720289E-2</v>
      </c>
      <c r="K42" s="2">
        <f>D42/'Total Traffic'!D40</f>
        <v>0.49339685404256295</v>
      </c>
      <c r="L42" s="5">
        <f t="shared" si="1"/>
        <v>0.5922941012367875</v>
      </c>
      <c r="M42" s="5">
        <f t="shared" si="2"/>
        <v>0.67178668620473103</v>
      </c>
      <c r="N42" s="5">
        <f t="shared" si="3"/>
        <v>0.79386904530051028</v>
      </c>
      <c r="O42" s="5">
        <f t="shared" si="6"/>
        <v>2.5989849943031773E-2</v>
      </c>
      <c r="P42" s="2">
        <f t="shared" ref="P42:R42" si="36">(L42/L35)-1</f>
        <v>-1.351468527089672E-3</v>
      </c>
      <c r="Q42" s="2">
        <f t="shared" si="36"/>
        <v>-4.8900894385518479E-3</v>
      </c>
      <c r="R42" s="2">
        <f t="shared" si="36"/>
        <v>1.7163676131532801E-2</v>
      </c>
      <c r="S42" s="3"/>
    </row>
    <row r="43" spans="3:19" x14ac:dyDescent="0.25">
      <c r="C43" s="1">
        <f t="shared" si="4"/>
        <v>43505</v>
      </c>
      <c r="D43">
        <v>62250</v>
      </c>
      <c r="E43">
        <v>37244</v>
      </c>
      <c r="F43">
        <v>25456</v>
      </c>
      <c r="G43">
        <v>19934</v>
      </c>
      <c r="H43">
        <f>'Total Traffic'!D41-'Page Sessions'!D43</f>
        <v>68090</v>
      </c>
      <c r="I43" s="2">
        <f t="shared" si="0"/>
        <v>0.32022489959839356</v>
      </c>
      <c r="J43" s="2">
        <f t="shared" si="5"/>
        <v>1.7639525948899371</v>
      </c>
      <c r="K43" s="2">
        <f>D43/'Total Traffic'!D41</f>
        <v>0.47759705385913764</v>
      </c>
      <c r="L43" s="5">
        <f t="shared" si="1"/>
        <v>0.59829718875502003</v>
      </c>
      <c r="M43" s="5">
        <f t="shared" si="2"/>
        <v>0.68349264311029967</v>
      </c>
      <c r="N43" s="5">
        <f t="shared" si="3"/>
        <v>0.78307668133249531</v>
      </c>
      <c r="O43" s="5">
        <f t="shared" si="6"/>
        <v>5.0549195027753679E-3</v>
      </c>
      <c r="P43" s="2">
        <f t="shared" ref="P43:R43" si="37">(L43/L36)-1</f>
        <v>4.7125126430545006E-3</v>
      </c>
      <c r="Q43" s="2">
        <f t="shared" si="37"/>
        <v>1.7966505919413338</v>
      </c>
      <c r="R43" s="2">
        <f t="shared" si="37"/>
        <v>-1.6327411581495754E-2</v>
      </c>
      <c r="S43" s="3"/>
    </row>
    <row r="44" spans="3:19" x14ac:dyDescent="0.25">
      <c r="C44" s="1">
        <f t="shared" si="4"/>
        <v>43506</v>
      </c>
      <c r="D44">
        <v>61553</v>
      </c>
      <c r="E44">
        <v>36371</v>
      </c>
      <c r="F44">
        <v>25386</v>
      </c>
      <c r="G44">
        <v>19849</v>
      </c>
      <c r="H44">
        <f>'Total Traffic'!D42-'Page Sessions'!D44</f>
        <v>68663</v>
      </c>
      <c r="I44" s="2">
        <f t="shared" si="0"/>
        <v>0.32247006644680193</v>
      </c>
      <c r="J44" s="2">
        <f t="shared" si="5"/>
        <v>3.6042301116424813E-2</v>
      </c>
      <c r="K44" s="2">
        <f>D44/'Total Traffic'!D42</f>
        <v>0.47269920747066413</v>
      </c>
      <c r="L44" s="5">
        <f t="shared" si="1"/>
        <v>0.59088915243773654</v>
      </c>
      <c r="M44" s="5">
        <f t="shared" si="2"/>
        <v>0.69797366033378239</v>
      </c>
      <c r="N44" s="5">
        <f t="shared" si="3"/>
        <v>0.78188765461277865</v>
      </c>
      <c r="O44" s="5">
        <f t="shared" si="6"/>
        <v>-4.6015682394597301E-2</v>
      </c>
      <c r="P44" s="2">
        <f t="shared" ref="P44:R44" si="38">(L44/L37)-1</f>
        <v>1.024896814231302E-2</v>
      </c>
      <c r="Q44" s="2">
        <f t="shared" si="38"/>
        <v>3.7589877647012715E-2</v>
      </c>
      <c r="R44" s="2">
        <f t="shared" si="38"/>
        <v>-1.1621371893314691E-2</v>
      </c>
      <c r="S44" s="3"/>
    </row>
    <row r="45" spans="3:19" x14ac:dyDescent="0.25">
      <c r="C45" s="1">
        <f t="shared" si="4"/>
        <v>43507</v>
      </c>
      <c r="D45">
        <v>61964</v>
      </c>
      <c r="E45">
        <v>35381</v>
      </c>
      <c r="F45">
        <v>24391</v>
      </c>
      <c r="G45">
        <v>19056</v>
      </c>
      <c r="H45">
        <f>'Total Traffic'!D43-'Page Sessions'!D45</f>
        <v>68322</v>
      </c>
      <c r="I45" s="2">
        <f t="shared" si="0"/>
        <v>0.30753340649409333</v>
      </c>
      <c r="J45" s="2">
        <f t="shared" si="5"/>
        <v>-2.2038913793344328E-2</v>
      </c>
      <c r="K45" s="2">
        <f>D45/'Total Traffic'!D43</f>
        <v>0.47559983421088992</v>
      </c>
      <c r="L45" s="5">
        <f t="shared" si="1"/>
        <v>0.570992834549093</v>
      </c>
      <c r="M45" s="5">
        <f t="shared" si="2"/>
        <v>0.68938130635086625</v>
      </c>
      <c r="N45" s="5">
        <f t="shared" si="3"/>
        <v>0.78127178057480218</v>
      </c>
      <c r="O45" s="5">
        <f t="shared" si="6"/>
        <v>-3.6268241278826552E-2</v>
      </c>
      <c r="P45" s="2">
        <f t="shared" ref="P45:R45" si="39">(L45/L38)-1</f>
        <v>-3.7578397394875895E-2</v>
      </c>
      <c r="Q45" s="2">
        <f t="shared" si="39"/>
        <v>6.1269121035456564E-3</v>
      </c>
      <c r="R45" s="2">
        <f t="shared" si="39"/>
        <v>9.9583073903206643E-3</v>
      </c>
      <c r="S45" s="3"/>
    </row>
    <row r="46" spans="3:19" x14ac:dyDescent="0.25">
      <c r="C46" s="1">
        <f t="shared" si="4"/>
        <v>43508</v>
      </c>
      <c r="D46">
        <v>62663</v>
      </c>
      <c r="E46">
        <v>37391</v>
      </c>
      <c r="F46">
        <v>25859</v>
      </c>
      <c r="G46">
        <v>19937</v>
      </c>
      <c r="H46">
        <f>'Total Traffic'!D44-'Page Sessions'!D46</f>
        <v>68023</v>
      </c>
      <c r="I46" s="2">
        <f t="shared" si="0"/>
        <v>0.31816223289660567</v>
      </c>
      <c r="J46" s="2">
        <f t="shared" si="5"/>
        <v>5.9308797453390127E-3</v>
      </c>
      <c r="K46" s="2">
        <f>D46/'Total Traffic'!D44</f>
        <v>0.4794928301424789</v>
      </c>
      <c r="L46" s="5">
        <f t="shared" si="1"/>
        <v>0.59669980690359548</v>
      </c>
      <c r="M46" s="5">
        <f t="shared" si="2"/>
        <v>0.69158353614506163</v>
      </c>
      <c r="N46" s="5">
        <f t="shared" si="3"/>
        <v>0.77098882400711555</v>
      </c>
      <c r="O46" s="5">
        <f t="shared" si="6"/>
        <v>-2.4823169070659068E-2</v>
      </c>
      <c r="P46" s="2">
        <f t="shared" ref="P46:R46" si="40">(L46/L39)-1</f>
        <v>2.7578633022254939E-2</v>
      </c>
      <c r="Q46" s="2">
        <f t="shared" si="40"/>
        <v>1.436236891803766E-2</v>
      </c>
      <c r="R46" s="2">
        <f t="shared" si="40"/>
        <v>-3.4927488257825434E-2</v>
      </c>
      <c r="S46" s="3"/>
    </row>
    <row r="47" spans="3:19" x14ac:dyDescent="0.25">
      <c r="C47" s="1">
        <f t="shared" si="4"/>
        <v>43509</v>
      </c>
      <c r="D47">
        <v>65431</v>
      </c>
      <c r="E47">
        <v>37334</v>
      </c>
      <c r="F47">
        <v>25566</v>
      </c>
      <c r="G47">
        <v>20411</v>
      </c>
      <c r="H47">
        <f>'Total Traffic'!D45-'Page Sessions'!D47</f>
        <v>65431</v>
      </c>
      <c r="I47" s="2">
        <f t="shared" si="0"/>
        <v>0.31194693646742372</v>
      </c>
      <c r="J47" s="2">
        <f t="shared" si="5"/>
        <v>2.2690939319398806E-2</v>
      </c>
      <c r="K47" s="2">
        <f>D47/'Total Traffic'!D45</f>
        <v>0.5</v>
      </c>
      <c r="L47" s="5">
        <f t="shared" si="1"/>
        <v>0.57058580795035996</v>
      </c>
      <c r="M47" s="5">
        <f t="shared" si="2"/>
        <v>0.68479134301173195</v>
      </c>
      <c r="N47" s="5">
        <f t="shared" si="3"/>
        <v>0.798365016036924</v>
      </c>
      <c r="O47" s="5">
        <f t="shared" si="6"/>
        <v>1.6056438927909644E-2</v>
      </c>
      <c r="P47" s="2">
        <f t="shared" ref="P47:R47" si="41">(L47/L40)-1</f>
        <v>-1.9433537247067645E-2</v>
      </c>
      <c r="Q47" s="2">
        <f t="shared" si="41"/>
        <v>1.5419626172329171E-2</v>
      </c>
      <c r="R47" s="2">
        <f t="shared" si="41"/>
        <v>2.7121498728602589E-2</v>
      </c>
      <c r="S47" s="3"/>
    </row>
    <row r="48" spans="3:19" x14ac:dyDescent="0.25">
      <c r="C48" s="1">
        <f t="shared" si="4"/>
        <v>43510</v>
      </c>
      <c r="D48">
        <v>64571</v>
      </c>
      <c r="E48">
        <v>38413</v>
      </c>
      <c r="F48">
        <v>26082</v>
      </c>
      <c r="G48">
        <v>20743</v>
      </c>
      <c r="H48">
        <f>'Total Traffic'!D46-'Page Sessions'!D48</f>
        <v>65771</v>
      </c>
      <c r="I48" s="2">
        <f t="shared" si="0"/>
        <v>0.32124328258815876</v>
      </c>
      <c r="J48" s="2">
        <f t="shared" si="5"/>
        <v>3.1013873881366338E-2</v>
      </c>
      <c r="K48" s="2">
        <f>D48/'Total Traffic'!D46</f>
        <v>0.4953967255374323</v>
      </c>
      <c r="L48" s="5">
        <f t="shared" si="1"/>
        <v>0.59489554134208855</v>
      </c>
      <c r="M48" s="5">
        <f t="shared" si="2"/>
        <v>0.67898888397157209</v>
      </c>
      <c r="N48" s="5">
        <f t="shared" si="3"/>
        <v>0.79529944022697641</v>
      </c>
      <c r="O48" s="5">
        <f t="shared" si="6"/>
        <v>2.1648908908126208E-2</v>
      </c>
      <c r="P48" s="2">
        <f t="shared" ref="P48:R48" si="42">(L48/L41)-1</f>
        <v>1.3300005686297744E-2</v>
      </c>
      <c r="Q48" s="2">
        <f t="shared" si="42"/>
        <v>1.2844427725299923E-2</v>
      </c>
      <c r="R48" s="2">
        <f t="shared" si="42"/>
        <v>4.5781346834528058E-3</v>
      </c>
      <c r="S48" s="3"/>
    </row>
    <row r="49" spans="3:19" x14ac:dyDescent="0.25">
      <c r="C49" s="1">
        <f t="shared" si="4"/>
        <v>43511</v>
      </c>
      <c r="D49">
        <v>64339</v>
      </c>
      <c r="E49">
        <v>38577</v>
      </c>
      <c r="F49">
        <v>26375</v>
      </c>
      <c r="G49">
        <v>20448</v>
      </c>
      <c r="H49">
        <f>'Total Traffic'!D47-'Page Sessions'!D49</f>
        <v>66115</v>
      </c>
      <c r="I49" s="2">
        <f t="shared" si="0"/>
        <v>0.31781656538025149</v>
      </c>
      <c r="J49" s="2">
        <f t="shared" si="5"/>
        <v>6.1410348591621755E-3</v>
      </c>
      <c r="K49" s="2">
        <f>D49/'Total Traffic'!D47</f>
        <v>0.49319300289757312</v>
      </c>
      <c r="L49" s="5">
        <f t="shared" si="1"/>
        <v>0.59958967344845271</v>
      </c>
      <c r="M49" s="5">
        <f t="shared" si="2"/>
        <v>0.68369753998496519</v>
      </c>
      <c r="N49" s="5">
        <f t="shared" si="3"/>
        <v>0.77527962085308055</v>
      </c>
      <c r="O49" s="5">
        <f t="shared" si="6"/>
        <v>-4.1315858283164086E-4</v>
      </c>
      <c r="P49" s="2">
        <f t="shared" ref="P49:R49" si="43">(L49/L42)-1</f>
        <v>1.2317482474384134E-2</v>
      </c>
      <c r="Q49" s="2">
        <f t="shared" si="43"/>
        <v>1.7730112883785676E-2</v>
      </c>
      <c r="R49" s="2">
        <f t="shared" si="43"/>
        <v>-2.341623540743154E-2</v>
      </c>
      <c r="S49" s="3"/>
    </row>
    <row r="50" spans="3:19" x14ac:dyDescent="0.25">
      <c r="C50" s="1">
        <f t="shared" si="4"/>
        <v>43512</v>
      </c>
      <c r="D50">
        <v>64319</v>
      </c>
      <c r="E50">
        <v>38449</v>
      </c>
      <c r="F50">
        <v>9660</v>
      </c>
      <c r="G50">
        <v>7630</v>
      </c>
      <c r="H50">
        <f>'Total Traffic'!D48-'Page Sessions'!D50</f>
        <v>65935</v>
      </c>
      <c r="I50" s="2">
        <f t="shared" si="0"/>
        <v>0.11862746622304451</v>
      </c>
      <c r="J50" s="2">
        <f t="shared" si="5"/>
        <v>-0.62954952481265569</v>
      </c>
      <c r="K50" s="2">
        <f>D50/'Total Traffic'!D48</f>
        <v>0.49379673560888726</v>
      </c>
      <c r="L50" s="5">
        <f t="shared" si="1"/>
        <v>0.59778603523064722</v>
      </c>
      <c r="M50" s="5">
        <f t="shared" si="2"/>
        <v>0.25124190486098469</v>
      </c>
      <c r="N50" s="5">
        <f t="shared" si="3"/>
        <v>0.78985507246376807</v>
      </c>
      <c r="O50" s="5">
        <f t="shared" si="6"/>
        <v>3.3919140871684572E-2</v>
      </c>
      <c r="P50" s="2">
        <f t="shared" ref="P50:R50" si="44">(L50/L43)-1</f>
        <v>-8.5434719396970671E-4</v>
      </c>
      <c r="Q50" s="2">
        <f t="shared" si="44"/>
        <v>-0.63241461719663294</v>
      </c>
      <c r="R50" s="2">
        <f t="shared" si="44"/>
        <v>8.6561013663930542E-3</v>
      </c>
      <c r="S50" s="3"/>
    </row>
    <row r="51" spans="3:19" x14ac:dyDescent="0.25">
      <c r="C51" s="1">
        <f t="shared" si="4"/>
        <v>43513</v>
      </c>
      <c r="D51">
        <v>64149</v>
      </c>
      <c r="E51">
        <v>37693</v>
      </c>
      <c r="F51">
        <v>25714</v>
      </c>
      <c r="G51">
        <v>20059</v>
      </c>
      <c r="H51">
        <f>'Total Traffic'!D49-'Page Sessions'!D51</f>
        <v>65972</v>
      </c>
      <c r="I51" s="2">
        <f t="shared" si="0"/>
        <v>0.31269388455003194</v>
      </c>
      <c r="J51" s="2">
        <f t="shared" si="5"/>
        <v>-3.0316556214009971E-2</v>
      </c>
      <c r="K51" s="2">
        <f>D51/'Total Traffic'!D49</f>
        <v>0.49299498159405475</v>
      </c>
      <c r="L51" s="5">
        <f t="shared" si="1"/>
        <v>0.58758515331493866</v>
      </c>
      <c r="M51" s="5">
        <f t="shared" si="2"/>
        <v>0.68219563314143206</v>
      </c>
      <c r="N51" s="5">
        <f t="shared" si="3"/>
        <v>0.78008088978766432</v>
      </c>
      <c r="O51" s="5">
        <f t="shared" si="6"/>
        <v>4.2935917392351808E-2</v>
      </c>
      <c r="P51" s="2">
        <f t="shared" ref="P51:R51" si="45">(L51/L44)-1</f>
        <v>-5.5915718018635374E-3</v>
      </c>
      <c r="Q51" s="2">
        <f t="shared" si="45"/>
        <v>-2.260547652300382E-2</v>
      </c>
      <c r="R51" s="2">
        <f t="shared" si="45"/>
        <v>-2.3107729281249823E-3</v>
      </c>
      <c r="S51" s="3"/>
    </row>
    <row r="52" spans="3:19" x14ac:dyDescent="0.25">
      <c r="C52" s="1">
        <f t="shared" si="4"/>
        <v>43514</v>
      </c>
      <c r="D52">
        <v>61452</v>
      </c>
      <c r="E52">
        <v>35402</v>
      </c>
      <c r="F52">
        <v>24076</v>
      </c>
      <c r="G52">
        <v>19070</v>
      </c>
      <c r="H52">
        <f>'Total Traffic'!D50-'Page Sessions'!D52</f>
        <v>68606</v>
      </c>
      <c r="I52" s="2">
        <f t="shared" si="0"/>
        <v>0.31032350452385604</v>
      </c>
      <c r="J52" s="2">
        <f t="shared" si="5"/>
        <v>9.0725038998853424E-3</v>
      </c>
      <c r="K52" s="2">
        <f>D52/'Total Traffic'!D50</f>
        <v>0.47249688600470557</v>
      </c>
      <c r="L52" s="5">
        <f t="shared" si="1"/>
        <v>0.57609190913233088</v>
      </c>
      <c r="M52" s="5">
        <f t="shared" si="2"/>
        <v>0.68007457205807587</v>
      </c>
      <c r="N52" s="5">
        <f t="shared" si="3"/>
        <v>0.79207509553081912</v>
      </c>
      <c r="O52" s="5">
        <f t="shared" si="6"/>
        <v>-6.5242836161469864E-3</v>
      </c>
      <c r="P52" s="2">
        <f t="shared" ref="P52:R52" si="46">(L52/L45)-1</f>
        <v>8.9301901437424114E-3</v>
      </c>
      <c r="Q52" s="2">
        <f t="shared" si="46"/>
        <v>-1.3500125702645138E-2</v>
      </c>
      <c r="R52" s="2">
        <f t="shared" si="46"/>
        <v>1.3827857634981511E-2</v>
      </c>
      <c r="S52" s="3"/>
    </row>
    <row r="53" spans="3:19" x14ac:dyDescent="0.25">
      <c r="C53" s="1">
        <f t="shared" si="4"/>
        <v>43515</v>
      </c>
      <c r="D53">
        <v>64524</v>
      </c>
      <c r="E53">
        <v>38036</v>
      </c>
      <c r="F53">
        <v>26450</v>
      </c>
      <c r="G53">
        <v>20482</v>
      </c>
      <c r="H53">
        <f>'Total Traffic'!D51-'Page Sessions'!D53</f>
        <v>65540</v>
      </c>
      <c r="I53" s="2">
        <f t="shared" si="0"/>
        <v>0.31743227326266193</v>
      </c>
      <c r="J53" s="2">
        <f t="shared" si="5"/>
        <v>-2.2943000723185669E-3</v>
      </c>
      <c r="K53" s="2">
        <f>D53/'Total Traffic'!D51</f>
        <v>0.49609423053266083</v>
      </c>
      <c r="L53" s="5">
        <f t="shared" si="1"/>
        <v>0.58948608269791081</v>
      </c>
      <c r="M53" s="5">
        <f t="shared" si="2"/>
        <v>0.69539383741718375</v>
      </c>
      <c r="N53" s="5">
        <f t="shared" si="3"/>
        <v>0.77436672967863895</v>
      </c>
      <c r="O53" s="5">
        <f t="shared" si="6"/>
        <v>3.4622833432668587E-2</v>
      </c>
      <c r="P53" s="2">
        <f t="shared" ref="P53:R53" si="47">(L53/L46)-1</f>
        <v>-1.2089369096863423E-2</v>
      </c>
      <c r="Q53" s="2">
        <f t="shared" si="47"/>
        <v>5.5095314925526218E-3</v>
      </c>
      <c r="R53" s="2">
        <f t="shared" si="47"/>
        <v>4.381264119974082E-3</v>
      </c>
      <c r="S53" s="3"/>
    </row>
    <row r="54" spans="3:19" x14ac:dyDescent="0.25">
      <c r="C54" s="1">
        <f t="shared" si="4"/>
        <v>43516</v>
      </c>
      <c r="D54">
        <v>62859</v>
      </c>
      <c r="E54">
        <v>36445</v>
      </c>
      <c r="F54">
        <v>25157</v>
      </c>
      <c r="G54">
        <v>19828</v>
      </c>
      <c r="H54">
        <f>'Total Traffic'!D52-'Page Sessions'!D54</f>
        <v>67500</v>
      </c>
      <c r="I54" s="2">
        <f t="shared" si="0"/>
        <v>0.31543613484147059</v>
      </c>
      <c r="J54" s="2">
        <f t="shared" si="5"/>
        <v>1.1185230454767492E-2</v>
      </c>
      <c r="K54" s="2">
        <f>D54/'Total Traffic'!D52</f>
        <v>0.48219915771062988</v>
      </c>
      <c r="L54" s="5">
        <f t="shared" si="1"/>
        <v>0.57978968803194453</v>
      </c>
      <c r="M54" s="5">
        <f t="shared" si="2"/>
        <v>0.69027301413088216</v>
      </c>
      <c r="N54" s="5">
        <f t="shared" si="3"/>
        <v>0.78817029057518784</v>
      </c>
      <c r="O54" s="5">
        <f t="shared" si="6"/>
        <v>-3.5601684578740245E-2</v>
      </c>
      <c r="P54" s="2">
        <f t="shared" ref="P54:R54" si="48">(L54/L47)-1</f>
        <v>1.613058010441315E-2</v>
      </c>
      <c r="Q54" s="2">
        <f t="shared" si="48"/>
        <v>8.004877945801292E-3</v>
      </c>
      <c r="R54" s="2">
        <f t="shared" si="48"/>
        <v>-1.2769504245492502E-2</v>
      </c>
      <c r="S54" s="3"/>
    </row>
    <row r="55" spans="3:19" x14ac:dyDescent="0.25">
      <c r="C55" s="1">
        <f t="shared" si="4"/>
        <v>43517</v>
      </c>
      <c r="D55">
        <v>64605</v>
      </c>
      <c r="E55">
        <v>38704</v>
      </c>
      <c r="F55">
        <v>26872</v>
      </c>
      <c r="G55">
        <v>21005</v>
      </c>
      <c r="H55">
        <f>'Total Traffic'!D53-'Page Sessions'!D55</f>
        <v>65780</v>
      </c>
      <c r="I55" s="2">
        <f t="shared" si="0"/>
        <v>0.32512963392926242</v>
      </c>
      <c r="J55" s="2">
        <f t="shared" si="5"/>
        <v>1.2097844692011916E-2</v>
      </c>
      <c r="K55" s="2">
        <f>D55/'Total Traffic'!D53</f>
        <v>0.4954941135866856</v>
      </c>
      <c r="L55" s="5">
        <f t="shared" si="1"/>
        <v>0.59908675799086752</v>
      </c>
      <c r="M55" s="5">
        <f t="shared" si="2"/>
        <v>0.69429516329061591</v>
      </c>
      <c r="N55" s="5">
        <f t="shared" si="3"/>
        <v>0.78166865138434061</v>
      </c>
      <c r="O55" s="5">
        <f t="shared" si="6"/>
        <v>1.9658597692107094E-4</v>
      </c>
      <c r="P55" s="2">
        <f t="shared" ref="P55:R55" si="49">(L55/L48)-1</f>
        <v>7.0452984726083745E-3</v>
      </c>
      <c r="Q55" s="2">
        <f t="shared" si="49"/>
        <v>2.2542753910069324E-2</v>
      </c>
      <c r="R55" s="2">
        <f t="shared" si="49"/>
        <v>-1.7139190791767178E-2</v>
      </c>
      <c r="S55" s="3"/>
    </row>
    <row r="56" spans="3:19" x14ac:dyDescent="0.25">
      <c r="C56" s="1">
        <f t="shared" si="4"/>
        <v>43518</v>
      </c>
      <c r="D56">
        <v>62584</v>
      </c>
      <c r="E56">
        <v>37469</v>
      </c>
      <c r="F56">
        <v>25917</v>
      </c>
      <c r="G56">
        <v>20368</v>
      </c>
      <c r="H56">
        <f>'Total Traffic'!D54-'Page Sessions'!D56</f>
        <v>67827</v>
      </c>
      <c r="I56" s="2">
        <f t="shared" si="0"/>
        <v>0.32545059440112489</v>
      </c>
      <c r="J56" s="2">
        <f t="shared" si="5"/>
        <v>2.4020236364141967E-2</v>
      </c>
      <c r="K56" s="2">
        <f>D56/'Total Traffic'!D54</f>
        <v>0.47989816809931679</v>
      </c>
      <c r="L56" s="5">
        <f t="shared" si="1"/>
        <v>0.59869934807618563</v>
      </c>
      <c r="M56" s="5">
        <f t="shared" si="2"/>
        <v>0.69169179855347085</v>
      </c>
      <c r="N56" s="5">
        <f t="shared" si="3"/>
        <v>0.78589342902342096</v>
      </c>
      <c r="O56" s="5">
        <f t="shared" si="6"/>
        <v>-2.6956657373781501E-2</v>
      </c>
      <c r="P56" s="2">
        <f t="shared" ref="P56:R56" si="50">(L56/L49)-1</f>
        <v>-1.4848911041888124E-3</v>
      </c>
      <c r="Q56" s="2">
        <f t="shared" si="50"/>
        <v>1.1692682949658417E-2</v>
      </c>
      <c r="R56" s="2">
        <f t="shared" si="50"/>
        <v>1.3690296874644403E-2</v>
      </c>
      <c r="S56" s="3"/>
    </row>
    <row r="57" spans="3:19" x14ac:dyDescent="0.25">
      <c r="C57" s="1">
        <f t="shared" si="4"/>
        <v>43519</v>
      </c>
      <c r="D57">
        <v>64754</v>
      </c>
      <c r="E57">
        <v>38185</v>
      </c>
      <c r="F57">
        <v>26683</v>
      </c>
      <c r="G57">
        <v>21285</v>
      </c>
      <c r="H57">
        <f>'Total Traffic'!D55-'Page Sessions'!D57</f>
        <v>66116</v>
      </c>
      <c r="I57" s="2">
        <f t="shared" si="0"/>
        <v>0.32870556259072797</v>
      </c>
      <c r="J57" s="2">
        <f t="shared" si="5"/>
        <v>1.7709060393542639</v>
      </c>
      <c r="K57" s="2">
        <f>D57/'Total Traffic'!D55</f>
        <v>0.49479636280278139</v>
      </c>
      <c r="L57" s="5">
        <f t="shared" si="1"/>
        <v>0.58969330079995064</v>
      </c>
      <c r="M57" s="5">
        <f t="shared" si="2"/>
        <v>0.69878224433678149</v>
      </c>
      <c r="N57" s="5">
        <f t="shared" si="3"/>
        <v>0.79769890941798149</v>
      </c>
      <c r="O57" s="5">
        <f t="shared" si="6"/>
        <v>2.0243697898518764E-3</v>
      </c>
      <c r="P57" s="2">
        <f t="shared" ref="P57:R57" si="51">(L57/L50)-1</f>
        <v>-1.35378445693769E-2</v>
      </c>
      <c r="Q57" s="2">
        <f t="shared" si="51"/>
        <v>1.781312475414587</v>
      </c>
      <c r="R57" s="2">
        <f t="shared" si="51"/>
        <v>9.9307293548756004E-3</v>
      </c>
      <c r="S57" s="3"/>
    </row>
    <row r="58" spans="3:19" x14ac:dyDescent="0.25">
      <c r="C58" s="1">
        <f t="shared" si="4"/>
        <v>43520</v>
      </c>
      <c r="D58">
        <v>63151</v>
      </c>
      <c r="E58">
        <v>37233</v>
      </c>
      <c r="F58">
        <v>25690</v>
      </c>
      <c r="G58">
        <v>20531</v>
      </c>
      <c r="H58">
        <f>'Total Traffic'!D56-'Page Sessions'!D58</f>
        <v>67246</v>
      </c>
      <c r="I58" s="2">
        <f t="shared" si="0"/>
        <v>0.32510965780431028</v>
      </c>
      <c r="J58" s="2">
        <f t="shared" si="5"/>
        <v>3.9705839697327994E-2</v>
      </c>
      <c r="K58" s="2">
        <f>D58/'Total Traffic'!D56</f>
        <v>0.48429795163999173</v>
      </c>
      <c r="L58" s="5">
        <f t="shared" si="1"/>
        <v>0.58958686323256959</v>
      </c>
      <c r="M58" s="5">
        <f t="shared" si="2"/>
        <v>0.68997931942094382</v>
      </c>
      <c r="N58" s="5">
        <f t="shared" si="3"/>
        <v>0.79918256130790188</v>
      </c>
      <c r="O58" s="5">
        <f t="shared" si="6"/>
        <v>-1.7641213965184699E-2</v>
      </c>
      <c r="P58" s="2">
        <f t="shared" ref="P58:R58" si="52">(L58/L51)-1</f>
        <v>3.4066720480223633E-3</v>
      </c>
      <c r="Q58" s="2">
        <f t="shared" si="52"/>
        <v>1.1409756822495121E-2</v>
      </c>
      <c r="R58" s="2">
        <f t="shared" si="52"/>
        <v>2.4486783063532025E-2</v>
      </c>
      <c r="S58" s="3"/>
    </row>
    <row r="59" spans="3:19" x14ac:dyDescent="0.25">
      <c r="C59" s="1">
        <f t="shared" si="4"/>
        <v>43521</v>
      </c>
      <c r="D59">
        <v>62594</v>
      </c>
      <c r="E59">
        <v>36066</v>
      </c>
      <c r="F59">
        <v>24972</v>
      </c>
      <c r="G59">
        <v>19960</v>
      </c>
      <c r="H59">
        <f>'Total Traffic'!D57-'Page Sessions'!D59</f>
        <v>68330</v>
      </c>
      <c r="I59" s="2">
        <f t="shared" si="0"/>
        <v>0.31888040387257566</v>
      </c>
      <c r="J59" s="2">
        <f t="shared" si="5"/>
        <v>2.7574125788018655E-2</v>
      </c>
      <c r="K59" s="2">
        <f>D59/'Total Traffic'!D57</f>
        <v>0.47809416149827383</v>
      </c>
      <c r="L59" s="5">
        <f t="shared" si="1"/>
        <v>0.57618941112566702</v>
      </c>
      <c r="M59" s="5">
        <f t="shared" si="2"/>
        <v>0.69239727166860754</v>
      </c>
      <c r="N59" s="5">
        <f t="shared" si="3"/>
        <v>0.79929521063591225</v>
      </c>
      <c r="O59" s="5">
        <f t="shared" si="6"/>
        <v>1.1846163772415874E-2</v>
      </c>
      <c r="P59" s="2">
        <f t="shared" ref="P59:R59" si="53">(L59/L52)-1</f>
        <v>1.6924728813316747E-4</v>
      </c>
      <c r="Q59" s="2">
        <f t="shared" si="53"/>
        <v>1.81196299888704E-2</v>
      </c>
      <c r="R59" s="2">
        <f t="shared" si="53"/>
        <v>9.1154426465769323E-3</v>
      </c>
      <c r="S59" s="3"/>
    </row>
    <row r="60" spans="3:19" x14ac:dyDescent="0.25">
      <c r="C60" s="1">
        <f t="shared" si="4"/>
        <v>43522</v>
      </c>
      <c r="D60">
        <v>65190</v>
      </c>
      <c r="E60">
        <v>38429</v>
      </c>
      <c r="F60">
        <v>25855</v>
      </c>
      <c r="G60">
        <v>20577</v>
      </c>
      <c r="H60">
        <f>'Total Traffic'!D58-'Page Sessions'!D60</f>
        <v>65740</v>
      </c>
      <c r="I60" s="2">
        <f t="shared" si="0"/>
        <v>0.31564657156005521</v>
      </c>
      <c r="J60" s="2">
        <f t="shared" si="5"/>
        <v>-5.6254573117369144E-3</v>
      </c>
      <c r="K60" s="2">
        <f>D60/'Total Traffic'!D58</f>
        <v>0.4978996410295578</v>
      </c>
      <c r="L60" s="5">
        <f t="shared" si="1"/>
        <v>0.58949225341310019</v>
      </c>
      <c r="M60" s="5">
        <f t="shared" si="2"/>
        <v>0.67279918811314376</v>
      </c>
      <c r="N60" s="5">
        <f t="shared" si="3"/>
        <v>0.79586153548636629</v>
      </c>
      <c r="O60" s="5">
        <f t="shared" si="6"/>
        <v>3.6392491300665242E-3</v>
      </c>
      <c r="P60" s="2">
        <f t="shared" ref="P60:R60" si="54">(L60/L53)-1</f>
        <v>1.0467957379356463E-5</v>
      </c>
      <c r="Q60" s="2">
        <f t="shared" si="54"/>
        <v>-3.2491874515253816E-2</v>
      </c>
      <c r="R60" s="2">
        <f t="shared" si="54"/>
        <v>2.7757914930885086E-2</v>
      </c>
      <c r="S60" s="3"/>
    </row>
    <row r="61" spans="3:19" x14ac:dyDescent="0.25">
      <c r="C61" s="1">
        <f t="shared" si="4"/>
        <v>43523</v>
      </c>
      <c r="D61">
        <v>61609</v>
      </c>
      <c r="E61">
        <v>36694</v>
      </c>
      <c r="F61">
        <v>24768</v>
      </c>
      <c r="G61">
        <v>19668</v>
      </c>
      <c r="H61">
        <f>'Total Traffic'!D59-'Page Sessions'!D61</f>
        <v>68948</v>
      </c>
      <c r="I61" s="2">
        <f t="shared" si="0"/>
        <v>0.31923907221347531</v>
      </c>
      <c r="J61" s="2">
        <f t="shared" si="5"/>
        <v>1.2056124685638769E-2</v>
      </c>
      <c r="K61" s="2">
        <f>D61/'Total Traffic'!D59</f>
        <v>0.47189350245486644</v>
      </c>
      <c r="L61" s="5">
        <f t="shared" si="1"/>
        <v>0.59559479946111771</v>
      </c>
      <c r="M61" s="5">
        <f t="shared" si="2"/>
        <v>0.67498773641467269</v>
      </c>
      <c r="N61" s="5">
        <f t="shared" si="3"/>
        <v>0.79408914728682167</v>
      </c>
      <c r="O61" s="5">
        <f t="shared" si="6"/>
        <v>-2.1372196717829861E-2</v>
      </c>
      <c r="P61" s="2">
        <f t="shared" ref="P61:R61" si="55">(L61/L54)-1</f>
        <v>2.7260076809614509E-2</v>
      </c>
      <c r="Q61" s="2">
        <f t="shared" si="55"/>
        <v>-2.2143814698384334E-2</v>
      </c>
      <c r="R61" s="2">
        <f t="shared" si="55"/>
        <v>7.509616617640269E-3</v>
      </c>
      <c r="S61" s="3"/>
    </row>
    <row r="62" spans="3:19" x14ac:dyDescent="0.25">
      <c r="C62" s="1">
        <f t="shared" si="4"/>
        <v>43524</v>
      </c>
      <c r="D62">
        <v>61647</v>
      </c>
      <c r="E62">
        <v>36008</v>
      </c>
      <c r="F62">
        <v>24370</v>
      </c>
      <c r="G62">
        <v>19132</v>
      </c>
      <c r="H62">
        <f>'Total Traffic'!D60-'Page Sessions'!D62</f>
        <v>69350</v>
      </c>
      <c r="I62" s="2">
        <f t="shared" si="0"/>
        <v>0.31034762437750418</v>
      </c>
      <c r="J62" s="2">
        <f t="shared" si="5"/>
        <v>-4.5464971534936449E-2</v>
      </c>
      <c r="K62" s="2">
        <f>D62/'Total Traffic'!D60</f>
        <v>0.47059856332587768</v>
      </c>
      <c r="L62" s="5">
        <f t="shared" si="1"/>
        <v>0.58409979398835299</v>
      </c>
      <c r="M62" s="5">
        <f t="shared" si="2"/>
        <v>0.67679404576760716</v>
      </c>
      <c r="N62" s="5">
        <f t="shared" si="3"/>
        <v>0.78506360279031595</v>
      </c>
      <c r="O62" s="5">
        <f t="shared" si="6"/>
        <v>-5.0243887017342947E-2</v>
      </c>
      <c r="P62" s="2">
        <f t="shared" ref="P62:R62" si="56">(L62/L55)-1</f>
        <v>-2.5016349973709495E-2</v>
      </c>
      <c r="Q62" s="2">
        <f t="shared" si="56"/>
        <v>-2.5207027858385356E-2</v>
      </c>
      <c r="R62" s="2">
        <f t="shared" si="56"/>
        <v>4.3432103871159367E-3</v>
      </c>
      <c r="S62" s="3"/>
    </row>
    <row r="63" spans="3:19" x14ac:dyDescent="0.25">
      <c r="C63" s="1">
        <f t="shared" si="4"/>
        <v>43525</v>
      </c>
      <c r="D63">
        <v>63481</v>
      </c>
      <c r="E63">
        <v>37517</v>
      </c>
      <c r="F63">
        <v>25912</v>
      </c>
      <c r="G63">
        <v>20550</v>
      </c>
      <c r="H63">
        <f>'Total Traffic'!D61-'Page Sessions'!D63</f>
        <v>67086</v>
      </c>
      <c r="I63" s="2">
        <f t="shared" si="0"/>
        <v>0.32371890801972242</v>
      </c>
      <c r="J63" s="2">
        <f t="shared" si="5"/>
        <v>-5.3208886730995442E-3</v>
      </c>
      <c r="K63" s="2">
        <f>D63/'Total Traffic'!D61</f>
        <v>0.48619482717685175</v>
      </c>
      <c r="L63" s="5">
        <f t="shared" si="1"/>
        <v>0.59099573100612779</v>
      </c>
      <c r="M63" s="5">
        <f t="shared" si="2"/>
        <v>0.69067356131886881</v>
      </c>
      <c r="N63" s="5">
        <f t="shared" si="3"/>
        <v>0.79306884841000314</v>
      </c>
      <c r="O63" s="5">
        <f t="shared" si="6"/>
        <v>1.3120823324818121E-2</v>
      </c>
      <c r="P63" s="2">
        <f t="shared" ref="P63:R63" si="57">(L63/L56)-1</f>
        <v>-1.2867254816314788E-2</v>
      </c>
      <c r="Q63" s="2">
        <f t="shared" si="57"/>
        <v>-1.4720967296871779E-3</v>
      </c>
      <c r="R63" s="2">
        <f t="shared" si="57"/>
        <v>9.1302702396922619E-3</v>
      </c>
      <c r="S63" s="3"/>
    </row>
    <row r="64" spans="3:19" x14ac:dyDescent="0.25">
      <c r="C64" s="1">
        <f t="shared" si="4"/>
        <v>43526</v>
      </c>
      <c r="D64">
        <v>61556</v>
      </c>
      <c r="E64">
        <v>36127</v>
      </c>
      <c r="F64">
        <v>24851</v>
      </c>
      <c r="G64">
        <v>19878</v>
      </c>
      <c r="H64">
        <f>'Total Traffic'!D62-'Page Sessions'!D64</f>
        <v>68943</v>
      </c>
      <c r="I64" s="2">
        <f t="shared" si="0"/>
        <v>0.32292546624212098</v>
      </c>
      <c r="J64" s="2">
        <f t="shared" si="5"/>
        <v>-1.7584419025496678E-2</v>
      </c>
      <c r="K64" s="2">
        <f>D64/'Total Traffic'!D62</f>
        <v>0.47169710112721169</v>
      </c>
      <c r="L64" s="5">
        <f t="shared" si="1"/>
        <v>0.586896484501917</v>
      </c>
      <c r="M64" s="5">
        <f t="shared" si="2"/>
        <v>0.68787887175796492</v>
      </c>
      <c r="N64" s="5">
        <f t="shared" si="3"/>
        <v>0.79988732847772726</v>
      </c>
      <c r="O64" s="5">
        <f t="shared" si="6"/>
        <v>-4.6684380509031231E-2</v>
      </c>
      <c r="P64" s="2">
        <f t="shared" ref="P64:R64" si="58">(L64/L57)-1</f>
        <v>-4.7428320692122217E-3</v>
      </c>
      <c r="Q64" s="2">
        <f t="shared" si="58"/>
        <v>-1.5603390995094668E-2</v>
      </c>
      <c r="R64" s="2">
        <f t="shared" si="58"/>
        <v>2.743414882367734E-3</v>
      </c>
      <c r="S64" s="3"/>
    </row>
    <row r="65" spans="3:19" x14ac:dyDescent="0.25">
      <c r="C65" s="1">
        <f t="shared" si="4"/>
        <v>43527</v>
      </c>
      <c r="D65">
        <v>64345</v>
      </c>
      <c r="E65">
        <v>38362</v>
      </c>
      <c r="F65">
        <v>25740</v>
      </c>
      <c r="G65">
        <v>19917</v>
      </c>
      <c r="H65">
        <f>'Total Traffic'!D63-'Page Sessions'!D65</f>
        <v>65961</v>
      </c>
      <c r="I65" s="2">
        <f t="shared" si="0"/>
        <v>0.309534540368327</v>
      </c>
      <c r="J65" s="2">
        <f t="shared" si="5"/>
        <v>-4.7907273936962591E-2</v>
      </c>
      <c r="K65" s="2">
        <f>D65/'Total Traffic'!D63</f>
        <v>0.49379921108774733</v>
      </c>
      <c r="L65" s="5">
        <f t="shared" si="1"/>
        <v>0.5961924003419069</v>
      </c>
      <c r="M65" s="5">
        <f t="shared" si="2"/>
        <v>0.67097648714874092</v>
      </c>
      <c r="N65" s="5">
        <f t="shared" si="3"/>
        <v>0.77377622377622379</v>
      </c>
      <c r="O65" s="5">
        <f t="shared" si="6"/>
        <v>1.9618624063102441E-2</v>
      </c>
      <c r="P65" s="2">
        <f t="shared" ref="P65:R65" si="59">(L65/L58)-1</f>
        <v>1.1203670775703278E-2</v>
      </c>
      <c r="Q65" s="2">
        <f t="shared" si="59"/>
        <v>-2.7541162086061943E-2</v>
      </c>
      <c r="R65" s="2">
        <f t="shared" si="59"/>
        <v>-3.1790405298758428E-2</v>
      </c>
      <c r="S65" s="3"/>
    </row>
    <row r="66" spans="3:19" x14ac:dyDescent="0.25">
      <c r="C66" s="1">
        <f t="shared" si="4"/>
        <v>43528</v>
      </c>
      <c r="D66">
        <v>63759</v>
      </c>
      <c r="E66">
        <v>37101</v>
      </c>
      <c r="F66">
        <v>25132</v>
      </c>
      <c r="G66">
        <v>20103</v>
      </c>
      <c r="H66">
        <f>'Total Traffic'!D64-'Page Sessions'!D66</f>
        <v>66629</v>
      </c>
      <c r="I66" s="2">
        <f t="shared" si="0"/>
        <v>0.31529666400037643</v>
      </c>
      <c r="J66" s="2">
        <f t="shared" si="5"/>
        <v>-1.1238507693408728E-2</v>
      </c>
      <c r="K66" s="2">
        <f>D66/'Total Traffic'!D64</f>
        <v>0.48899438598644046</v>
      </c>
      <c r="L66" s="5">
        <f t="shared" si="1"/>
        <v>0.58189432080176917</v>
      </c>
      <c r="M66" s="5">
        <f t="shared" si="2"/>
        <v>0.67739414031966794</v>
      </c>
      <c r="N66" s="5">
        <f t="shared" si="3"/>
        <v>0.79989654623587458</v>
      </c>
      <c r="O66" s="5">
        <f t="shared" si="6"/>
        <v>2.279932566841425E-2</v>
      </c>
      <c r="P66" s="2">
        <f t="shared" ref="P66:R66" si="60">(L66/L59)-1</f>
        <v>9.9011012107230734E-3</v>
      </c>
      <c r="Q66" s="2">
        <f t="shared" si="60"/>
        <v>-2.1668386001555962E-2</v>
      </c>
      <c r="R66" s="2">
        <f t="shared" si="60"/>
        <v>7.523322947022848E-4</v>
      </c>
      <c r="S66" s="3"/>
    </row>
    <row r="67" spans="3:19" x14ac:dyDescent="0.25">
      <c r="C67" s="1">
        <f t="shared" si="4"/>
        <v>43529</v>
      </c>
      <c r="D67">
        <v>64054</v>
      </c>
      <c r="E67">
        <v>38374</v>
      </c>
      <c r="F67">
        <v>26339</v>
      </c>
      <c r="G67">
        <v>20670</v>
      </c>
      <c r="H67">
        <f>'Total Traffic'!D65-'Page Sessions'!D67</f>
        <v>66482</v>
      </c>
      <c r="I67" s="2">
        <f t="shared" si="0"/>
        <v>0.32269647484934588</v>
      </c>
      <c r="J67" s="2">
        <f t="shared" si="5"/>
        <v>2.2334800769250096E-2</v>
      </c>
      <c r="K67" s="2">
        <f>D67/'Total Traffic'!D65</f>
        <v>0.49069988355702643</v>
      </c>
      <c r="L67" s="5">
        <f t="shared" si="1"/>
        <v>0.59908826927280112</v>
      </c>
      <c r="M67" s="5">
        <f t="shared" si="2"/>
        <v>0.6863761922134779</v>
      </c>
      <c r="N67" s="5">
        <f t="shared" si="3"/>
        <v>0.78476783476973311</v>
      </c>
      <c r="O67" s="5">
        <f t="shared" si="6"/>
        <v>-1.4460258412003935E-2</v>
      </c>
      <c r="P67" s="2">
        <f t="shared" ref="P67:R67" si="61">(L67/L60)-1</f>
        <v>1.6278442683751893E-2</v>
      </c>
      <c r="Q67" s="2">
        <f t="shared" si="61"/>
        <v>2.0179875868177932E-2</v>
      </c>
      <c r="R67" s="2">
        <f t="shared" si="61"/>
        <v>-1.3939234680884094E-2</v>
      </c>
      <c r="S67" s="3"/>
    </row>
    <row r="68" spans="3:19" x14ac:dyDescent="0.25">
      <c r="C68" s="1">
        <f t="shared" si="4"/>
        <v>43530</v>
      </c>
      <c r="D68">
        <v>65065</v>
      </c>
      <c r="E68">
        <v>38479</v>
      </c>
      <c r="F68">
        <v>25907</v>
      </c>
      <c r="G68">
        <v>20567</v>
      </c>
      <c r="H68">
        <f>'Total Traffic'!D66-'Page Sessions'!D68</f>
        <v>65170</v>
      </c>
      <c r="I68" s="2">
        <f t="shared" si="0"/>
        <v>0.31609928533005455</v>
      </c>
      <c r="J68" s="2">
        <f t="shared" si="5"/>
        <v>-9.8352211765644348E-3</v>
      </c>
      <c r="K68" s="2">
        <f>D68/'Total Traffic'!D66</f>
        <v>0.49959688255845203</v>
      </c>
      <c r="L68" s="5">
        <f t="shared" si="1"/>
        <v>0.59139322216245294</v>
      </c>
      <c r="M68" s="5">
        <f t="shared" si="2"/>
        <v>0.67327633254502461</v>
      </c>
      <c r="N68" s="5">
        <f t="shared" si="3"/>
        <v>0.7938781024433551</v>
      </c>
      <c r="O68" s="5">
        <f t="shared" si="6"/>
        <v>5.870684796350889E-2</v>
      </c>
      <c r="P68" s="2">
        <f t="shared" ref="P68:R68" si="62">(L68/L61)-1</f>
        <v>-7.054422406754135E-3</v>
      </c>
      <c r="Q68" s="2">
        <f t="shared" si="62"/>
        <v>-2.5354592051383129E-3</v>
      </c>
      <c r="R68" s="2">
        <f t="shared" si="62"/>
        <v>-2.6576971135749972E-4</v>
      </c>
      <c r="S68" s="3"/>
    </row>
    <row r="69" spans="3:19" x14ac:dyDescent="0.25">
      <c r="C69" s="1">
        <f t="shared" si="4"/>
        <v>43531</v>
      </c>
      <c r="D69">
        <v>62300</v>
      </c>
      <c r="E69">
        <v>37323</v>
      </c>
      <c r="F69">
        <v>25622</v>
      </c>
      <c r="G69">
        <v>19808</v>
      </c>
      <c r="H69">
        <f>'Total Traffic'!D67-'Page Sessions'!D69</f>
        <v>67927</v>
      </c>
      <c r="I69" s="2">
        <f t="shared" ref="I69:I132" si="63">G69/D69</f>
        <v>0.31794542536115572</v>
      </c>
      <c r="J69" s="2">
        <f t="shared" si="5"/>
        <v>2.4481582544384706E-2</v>
      </c>
      <c r="K69" s="2">
        <f>D69/'Total Traffic'!D67</f>
        <v>0.47839541723298545</v>
      </c>
      <c r="L69" s="5">
        <f t="shared" ref="L69:L132" si="64">E69/D69</f>
        <v>0.5990850722311396</v>
      </c>
      <c r="M69" s="5">
        <f t="shared" ref="M69:M132" si="65">F69/E69</f>
        <v>0.68649358304530717</v>
      </c>
      <c r="N69" s="5">
        <f t="shared" ref="N69:N132" si="66">G69/F69</f>
        <v>0.77308562953711657</v>
      </c>
      <c r="O69" s="5">
        <f t="shared" si="6"/>
        <v>1.6567950934666786E-2</v>
      </c>
      <c r="P69" s="2">
        <f t="shared" ref="P69:R69" si="67">(L69/L62)-1</f>
        <v>2.5655339031133817E-2</v>
      </c>
      <c r="Q69" s="2">
        <f t="shared" si="67"/>
        <v>1.4331593692877398E-2</v>
      </c>
      <c r="R69" s="2">
        <f t="shared" si="67"/>
        <v>-1.525732846437744E-2</v>
      </c>
      <c r="S69" s="3"/>
    </row>
    <row r="70" spans="3:19" x14ac:dyDescent="0.25">
      <c r="C70" s="1">
        <f t="shared" ref="C70:C133" si="68">C69+1</f>
        <v>43532</v>
      </c>
      <c r="D70">
        <v>61822</v>
      </c>
      <c r="E70">
        <v>36227</v>
      </c>
      <c r="F70">
        <v>25076</v>
      </c>
      <c r="G70">
        <v>19905</v>
      </c>
      <c r="H70">
        <f>'Total Traffic'!D68-'Page Sessions'!D70</f>
        <v>68936</v>
      </c>
      <c r="I70" s="2">
        <f t="shared" si="63"/>
        <v>0.32197276050596874</v>
      </c>
      <c r="J70" s="2">
        <f t="shared" si="5"/>
        <v>-5.3940238598830792E-3</v>
      </c>
      <c r="K70" s="2">
        <f>D70/'Total Traffic'!D68</f>
        <v>0.47279707551354411</v>
      </c>
      <c r="L70" s="5">
        <f t="shared" si="64"/>
        <v>0.58598880657371166</v>
      </c>
      <c r="M70" s="5">
        <f t="shared" si="65"/>
        <v>0.69219090733430866</v>
      </c>
      <c r="N70" s="5">
        <f t="shared" si="66"/>
        <v>0.7937868878609029</v>
      </c>
      <c r="O70" s="5">
        <f t="shared" si="6"/>
        <v>-2.7556343495267699E-2</v>
      </c>
      <c r="P70" s="2">
        <f t="shared" ref="P70:R70" si="69">(L70/L63)-1</f>
        <v>-8.4720145505826627E-3</v>
      </c>
      <c r="Q70" s="2">
        <f t="shared" si="69"/>
        <v>2.1969076281744826E-3</v>
      </c>
      <c r="R70" s="2">
        <f t="shared" si="69"/>
        <v>9.0539358889119015E-4</v>
      </c>
      <c r="S70" s="3"/>
    </row>
    <row r="71" spans="3:19" x14ac:dyDescent="0.25">
      <c r="C71" s="1">
        <f t="shared" si="68"/>
        <v>43533</v>
      </c>
      <c r="D71">
        <v>63137</v>
      </c>
      <c r="E71">
        <v>37263</v>
      </c>
      <c r="F71">
        <v>24973</v>
      </c>
      <c r="G71">
        <v>19561</v>
      </c>
      <c r="H71">
        <f>'Total Traffic'!D69-'Page Sessions'!D71</f>
        <v>67502</v>
      </c>
      <c r="I71" s="2">
        <f t="shared" si="63"/>
        <v>0.30981833156469263</v>
      </c>
      <c r="J71" s="2">
        <f t="shared" si="5"/>
        <v>-4.0588730365417991E-2</v>
      </c>
      <c r="K71" s="2">
        <f>D71/'Total Traffic'!D69</f>
        <v>0.48329365656503803</v>
      </c>
      <c r="L71" s="5">
        <f t="shared" si="64"/>
        <v>0.59019275543659022</v>
      </c>
      <c r="M71" s="5">
        <f t="shared" si="65"/>
        <v>0.6701822182862357</v>
      </c>
      <c r="N71" s="5">
        <f t="shared" si="66"/>
        <v>0.78328594882473068</v>
      </c>
      <c r="O71" s="5">
        <f t="shared" si="6"/>
        <v>2.4584750277485634E-2</v>
      </c>
      <c r="P71" s="2">
        <f t="shared" ref="P71:R71" si="70">(L71/L64)-1</f>
        <v>5.6164434814611752E-3</v>
      </c>
      <c r="Q71" s="2">
        <f t="shared" si="70"/>
        <v>-2.5726409398944217E-2</v>
      </c>
      <c r="R71" s="2">
        <f t="shared" si="70"/>
        <v>-2.0754647638425272E-2</v>
      </c>
      <c r="S71" s="3"/>
    </row>
    <row r="72" spans="3:19" x14ac:dyDescent="0.25">
      <c r="C72" s="1">
        <f t="shared" si="68"/>
        <v>43534</v>
      </c>
      <c r="D72">
        <v>62278</v>
      </c>
      <c r="E72">
        <v>36115</v>
      </c>
      <c r="F72">
        <v>24977</v>
      </c>
      <c r="G72">
        <v>19464</v>
      </c>
      <c r="H72">
        <f>'Total Traffic'!D70-'Page Sessions'!D72</f>
        <v>67822</v>
      </c>
      <c r="I72" s="2">
        <f t="shared" si="63"/>
        <v>0.31253412119849705</v>
      </c>
      <c r="J72" s="2">
        <f t="shared" si="5"/>
        <v>9.6906174884416885E-3</v>
      </c>
      <c r="K72" s="2">
        <f>D72/'Total Traffic'!D70</f>
        <v>0.47869331283627981</v>
      </c>
      <c r="L72" s="5">
        <f t="shared" si="64"/>
        <v>0.57989980410417807</v>
      </c>
      <c r="M72" s="5">
        <f t="shared" si="65"/>
        <v>0.69159628963034747</v>
      </c>
      <c r="N72" s="5">
        <f t="shared" si="66"/>
        <v>0.7792769347799976</v>
      </c>
      <c r="O72" s="5">
        <f t="shared" si="6"/>
        <v>-3.0591175344715671E-2</v>
      </c>
      <c r="P72" s="2">
        <f t="shared" ref="P72:R72" si="71">(L72/L65)-1</f>
        <v>-2.7327748942095331E-2</v>
      </c>
      <c r="Q72" s="2">
        <f t="shared" si="71"/>
        <v>3.0731035850792177E-2</v>
      </c>
      <c r="R72" s="2">
        <f t="shared" si="71"/>
        <v>7.1089170676879032E-3</v>
      </c>
      <c r="S72" s="3"/>
    </row>
    <row r="73" spans="3:19" x14ac:dyDescent="0.25">
      <c r="C73" s="1">
        <f t="shared" si="68"/>
        <v>43535</v>
      </c>
      <c r="D73">
        <v>65146</v>
      </c>
      <c r="E73">
        <v>38729</v>
      </c>
      <c r="F73">
        <v>26316</v>
      </c>
      <c r="G73">
        <v>20418</v>
      </c>
      <c r="H73">
        <f>'Total Traffic'!D71-'Page Sessions'!D73</f>
        <v>65696</v>
      </c>
      <c r="I73" s="2">
        <f t="shared" si="63"/>
        <v>0.31341908942989594</v>
      </c>
      <c r="J73" s="2">
        <f t="shared" si="5"/>
        <v>-5.9549458806777977E-3</v>
      </c>
      <c r="K73" s="2">
        <f>D73/'Total Traffic'!D71</f>
        <v>0.49789822839760933</v>
      </c>
      <c r="L73" s="5">
        <f t="shared" si="64"/>
        <v>0.59449544100942497</v>
      </c>
      <c r="M73" s="5">
        <f t="shared" si="65"/>
        <v>0.67949082083193468</v>
      </c>
      <c r="N73" s="5">
        <f t="shared" si="66"/>
        <v>0.77587779297765613</v>
      </c>
      <c r="O73" s="5">
        <f t="shared" si="6"/>
        <v>1.8208475733739293E-2</v>
      </c>
      <c r="P73" s="2">
        <f t="shared" ref="P73:R73" si="72">(L73/L66)-1</f>
        <v>2.1655341454945409E-2</v>
      </c>
      <c r="Q73" s="2">
        <f t="shared" si="72"/>
        <v>3.0952150121601463E-3</v>
      </c>
      <c r="R73" s="2">
        <f t="shared" si="72"/>
        <v>-3.0027324622471596E-2</v>
      </c>
      <c r="S73" s="3"/>
    </row>
    <row r="74" spans="3:19" x14ac:dyDescent="0.25">
      <c r="C74" s="1">
        <f t="shared" si="68"/>
        <v>43536</v>
      </c>
      <c r="D74">
        <v>64427</v>
      </c>
      <c r="E74">
        <v>36768</v>
      </c>
      <c r="F74">
        <v>25211</v>
      </c>
      <c r="G74">
        <v>20075</v>
      </c>
      <c r="H74">
        <f>'Total Traffic'!D72-'Page Sessions'!D74</f>
        <v>65676</v>
      </c>
      <c r="I74" s="2">
        <f t="shared" si="63"/>
        <v>0.31159296568208983</v>
      </c>
      <c r="J74" s="2">
        <f t="shared" si="5"/>
        <v>-3.4408523280088033E-2</v>
      </c>
      <c r="K74" s="2">
        <f>D74/'Total Traffic'!D72</f>
        <v>0.49519995695718005</v>
      </c>
      <c r="L74" s="5">
        <f t="shared" si="64"/>
        <v>0.57069241156657924</v>
      </c>
      <c r="M74" s="5">
        <f t="shared" si="65"/>
        <v>0.68567776327241081</v>
      </c>
      <c r="N74" s="5">
        <f t="shared" si="66"/>
        <v>0.79627940184839952</v>
      </c>
      <c r="O74" s="5">
        <f t="shared" si="6"/>
        <v>9.1707244100673879E-3</v>
      </c>
      <c r="P74" s="2">
        <f t="shared" ref="P74:R74" si="73">(L74/L67)-1</f>
        <v>-4.7398453888422787E-2</v>
      </c>
      <c r="Q74" s="2">
        <f t="shared" si="73"/>
        <v>-1.0175599751132136E-3</v>
      </c>
      <c r="R74" s="2">
        <f t="shared" si="73"/>
        <v>1.4668754972665399E-2</v>
      </c>
      <c r="S74" s="3"/>
    </row>
    <row r="75" spans="3:19" x14ac:dyDescent="0.25">
      <c r="C75" s="1">
        <f t="shared" si="68"/>
        <v>43537</v>
      </c>
      <c r="D75">
        <v>64879</v>
      </c>
      <c r="E75">
        <v>37675</v>
      </c>
      <c r="F75">
        <v>25396</v>
      </c>
      <c r="G75">
        <v>20027</v>
      </c>
      <c r="H75">
        <f>'Total Traffic'!D73-'Page Sessions'!D75</f>
        <v>65322</v>
      </c>
      <c r="I75" s="2">
        <f t="shared" si="63"/>
        <v>0.30868231631190368</v>
      </c>
      <c r="J75" s="2">
        <f t="shared" si="5"/>
        <v>-2.3464048678270344E-2</v>
      </c>
      <c r="K75" s="2">
        <f>D75/'Total Traffic'!D73</f>
        <v>0.49829878418752543</v>
      </c>
      <c r="L75" s="5">
        <f t="shared" si="64"/>
        <v>0.58069637324866286</v>
      </c>
      <c r="M75" s="5">
        <f t="shared" si="65"/>
        <v>0.6740809555408096</v>
      </c>
      <c r="N75" s="5">
        <f t="shared" si="66"/>
        <v>0.78858875413450935</v>
      </c>
      <c r="O75" s="5">
        <f t="shared" si="6"/>
        <v>-2.598291575157563E-3</v>
      </c>
      <c r="P75" s="2">
        <f t="shared" ref="P75:R75" si="74">(L75/L68)-1</f>
        <v>-1.8087540595539187E-2</v>
      </c>
      <c r="Q75" s="2">
        <f t="shared" si="74"/>
        <v>1.1950858167604217E-3</v>
      </c>
      <c r="R75" s="2">
        <f t="shared" si="74"/>
        <v>-6.6626706197921992E-3</v>
      </c>
      <c r="S75" s="3"/>
    </row>
    <row r="76" spans="3:19" x14ac:dyDescent="0.25">
      <c r="C76" s="1">
        <f t="shared" si="68"/>
        <v>43538</v>
      </c>
      <c r="D76">
        <v>65137</v>
      </c>
      <c r="E76">
        <v>38313</v>
      </c>
      <c r="F76">
        <v>25968</v>
      </c>
      <c r="G76">
        <v>20216</v>
      </c>
      <c r="H76">
        <f>'Total Traffic'!D74-'Page Sessions'!D76</f>
        <v>65294</v>
      </c>
      <c r="I76" s="2">
        <f t="shared" si="63"/>
        <v>0.31036123862013909</v>
      </c>
      <c r="J76" s="2">
        <f t="shared" ref="J76:J139" si="75">(I76/I69)-1</f>
        <v>-2.3853737579025425E-2</v>
      </c>
      <c r="K76" s="2">
        <f>D76/'Total Traffic'!D74</f>
        <v>0.49939814921299386</v>
      </c>
      <c r="L76" s="5">
        <f t="shared" si="64"/>
        <v>0.5881910434929456</v>
      </c>
      <c r="M76" s="5">
        <f t="shared" si="65"/>
        <v>0.67778560801816612</v>
      </c>
      <c r="N76" s="5">
        <f t="shared" si="66"/>
        <v>0.77849661121380165</v>
      </c>
      <c r="O76" s="5">
        <f t="shared" ref="O76:O139" si="76">(K76/K69)-1</f>
        <v>4.3902452288291371E-2</v>
      </c>
      <c r="P76" s="2">
        <f t="shared" ref="P76:R76" si="77">(L76/L69)-1</f>
        <v>-1.8184443651086069E-2</v>
      </c>
      <c r="Q76" s="2">
        <f t="shared" si="77"/>
        <v>-1.268471438365415E-2</v>
      </c>
      <c r="R76" s="2">
        <f t="shared" si="77"/>
        <v>6.9992009551709256E-3</v>
      </c>
      <c r="S76" s="3"/>
    </row>
    <row r="77" spans="3:19" x14ac:dyDescent="0.25">
      <c r="C77" s="1">
        <f t="shared" si="68"/>
        <v>43539</v>
      </c>
      <c r="D77">
        <v>64496</v>
      </c>
      <c r="E77">
        <v>37930</v>
      </c>
      <c r="F77">
        <v>25837</v>
      </c>
      <c r="G77">
        <v>20248</v>
      </c>
      <c r="H77">
        <f>'Total Traffic'!D75-'Page Sessions'!D77</f>
        <v>65564</v>
      </c>
      <c r="I77" s="2">
        <f t="shared" si="63"/>
        <v>0.31394194988836516</v>
      </c>
      <c r="J77" s="2">
        <f t="shared" si="75"/>
        <v>-2.4942515649409081E-2</v>
      </c>
      <c r="K77" s="2">
        <f>D77/'Total Traffic'!D75</f>
        <v>0.49589420267568812</v>
      </c>
      <c r="L77" s="5">
        <f t="shared" si="64"/>
        <v>0.58809848672785914</v>
      </c>
      <c r="M77" s="5">
        <f t="shared" si="65"/>
        <v>0.68117585025046135</v>
      </c>
      <c r="N77" s="5">
        <f t="shared" si="66"/>
        <v>0.78368231605836591</v>
      </c>
      <c r="O77" s="5">
        <f t="shared" si="76"/>
        <v>4.8852093970878085E-2</v>
      </c>
      <c r="P77" s="2">
        <f t="shared" ref="P77:R77" si="78">(L77/L70)-1</f>
        <v>3.600205550824187E-3</v>
      </c>
      <c r="Q77" s="2">
        <f t="shared" si="78"/>
        <v>-1.5913322418907971E-2</v>
      </c>
      <c r="R77" s="2">
        <f t="shared" si="78"/>
        <v>-1.2729577619714494E-2</v>
      </c>
      <c r="S77" s="3"/>
    </row>
    <row r="78" spans="3:19" x14ac:dyDescent="0.25">
      <c r="C78" s="1">
        <f t="shared" si="68"/>
        <v>43540</v>
      </c>
      <c r="D78">
        <v>65085</v>
      </c>
      <c r="E78">
        <v>37690</v>
      </c>
      <c r="F78">
        <v>25316</v>
      </c>
      <c r="G78">
        <v>19784</v>
      </c>
      <c r="H78">
        <f>'Total Traffic'!D76-'Page Sessions'!D78</f>
        <v>65190</v>
      </c>
      <c r="I78" s="2">
        <f t="shared" si="63"/>
        <v>0.3039717292770992</v>
      </c>
      <c r="J78" s="2">
        <f t="shared" si="75"/>
        <v>-1.8871066337701858E-2</v>
      </c>
      <c r="K78" s="2">
        <f>D78/'Total Traffic'!D76</f>
        <v>0.49959700633275761</v>
      </c>
      <c r="L78" s="5">
        <f t="shared" si="64"/>
        <v>0.5790888837673811</v>
      </c>
      <c r="M78" s="5">
        <f t="shared" si="65"/>
        <v>0.671690103475723</v>
      </c>
      <c r="N78" s="5">
        <f t="shared" si="66"/>
        <v>0.78148206667720022</v>
      </c>
      <c r="O78" s="5">
        <f t="shared" si="76"/>
        <v>3.3733837691133806E-2</v>
      </c>
      <c r="P78" s="2">
        <f t="shared" ref="P78:R78" si="79">(L78/L71)-1</f>
        <v>-1.8813974869947514E-2</v>
      </c>
      <c r="Q78" s="2">
        <f t="shared" si="79"/>
        <v>2.2499629926666653E-3</v>
      </c>
      <c r="R78" s="2">
        <f t="shared" si="79"/>
        <v>-2.3029675819374873E-3</v>
      </c>
      <c r="S78" s="3"/>
    </row>
    <row r="79" spans="3:19" x14ac:dyDescent="0.25">
      <c r="C79" s="1">
        <f t="shared" si="68"/>
        <v>43541</v>
      </c>
      <c r="D79">
        <v>64924</v>
      </c>
      <c r="E79">
        <v>37097</v>
      </c>
      <c r="F79">
        <v>25285</v>
      </c>
      <c r="G79">
        <v>19992</v>
      </c>
      <c r="H79">
        <f>'Total Traffic'!D77-'Page Sessions'!D79</f>
        <v>65315</v>
      </c>
      <c r="I79" s="2">
        <f t="shared" si="63"/>
        <v>0.30792927114780361</v>
      </c>
      <c r="J79" s="2">
        <f t="shared" si="75"/>
        <v>-1.473391139832958E-2</v>
      </c>
      <c r="K79" s="2">
        <f>D79/'Total Traffic'!D77</f>
        <v>0.49849891353588405</v>
      </c>
      <c r="L79" s="5">
        <f t="shared" si="64"/>
        <v>0.57139116505452525</v>
      </c>
      <c r="M79" s="5">
        <f t="shared" si="65"/>
        <v>0.68159150335606655</v>
      </c>
      <c r="N79" s="5">
        <f t="shared" si="66"/>
        <v>0.79066640300573465</v>
      </c>
      <c r="O79" s="5">
        <f t="shared" si="76"/>
        <v>4.1374299929646252E-2</v>
      </c>
      <c r="P79" s="2">
        <f t="shared" ref="P79:R79" si="80">(L79/L72)-1</f>
        <v>-1.4672602041652438E-2</v>
      </c>
      <c r="Q79" s="2">
        <f t="shared" si="80"/>
        <v>-1.4466223177149184E-2</v>
      </c>
      <c r="R79" s="2">
        <f t="shared" si="80"/>
        <v>1.4615430942983787E-2</v>
      </c>
      <c r="S79" s="3"/>
    </row>
    <row r="80" spans="3:19" x14ac:dyDescent="0.25">
      <c r="C80" s="1">
        <f t="shared" si="68"/>
        <v>43542</v>
      </c>
      <c r="D80">
        <v>64526</v>
      </c>
      <c r="E80">
        <v>37515</v>
      </c>
      <c r="F80">
        <v>25307</v>
      </c>
      <c r="G80">
        <v>19828</v>
      </c>
      <c r="H80">
        <f>'Total Traffic'!D78-'Page Sessions'!D80</f>
        <v>66386</v>
      </c>
      <c r="I80" s="2">
        <f t="shared" si="63"/>
        <v>0.30728698509128105</v>
      </c>
      <c r="J80" s="2">
        <f t="shared" si="75"/>
        <v>-1.9565190970878943E-2</v>
      </c>
      <c r="K80" s="2">
        <f>D80/'Total Traffic'!D78</f>
        <v>0.49289599120019556</v>
      </c>
      <c r="L80" s="5">
        <f t="shared" si="64"/>
        <v>0.58139354678734156</v>
      </c>
      <c r="M80" s="5">
        <f t="shared" si="65"/>
        <v>0.67458349993335998</v>
      </c>
      <c r="N80" s="5">
        <f t="shared" si="66"/>
        <v>0.78349863674082265</v>
      </c>
      <c r="O80" s="5">
        <f t="shared" si="76"/>
        <v>-1.0046706158229446E-2</v>
      </c>
      <c r="P80" s="2">
        <f t="shared" ref="P80:R80" si="81">(L80/L73)-1</f>
        <v>-2.203867905166268E-2</v>
      </c>
      <c r="Q80" s="2">
        <f t="shared" si="81"/>
        <v>-7.2220562046245718E-3</v>
      </c>
      <c r="R80" s="2">
        <f t="shared" si="81"/>
        <v>9.8222217882011353E-3</v>
      </c>
      <c r="S80" s="3"/>
    </row>
    <row r="81" spans="3:19" x14ac:dyDescent="0.25">
      <c r="C81" s="1">
        <f t="shared" si="68"/>
        <v>43543</v>
      </c>
      <c r="D81">
        <v>63561</v>
      </c>
      <c r="E81">
        <v>13590</v>
      </c>
      <c r="F81">
        <v>9305</v>
      </c>
      <c r="G81">
        <v>7439</v>
      </c>
      <c r="H81">
        <f>'Total Traffic'!D79-'Page Sessions'!D81</f>
        <v>66795</v>
      </c>
      <c r="I81" s="2">
        <f t="shared" si="63"/>
        <v>0.11703717688519689</v>
      </c>
      <c r="J81" s="2">
        <f t="shared" si="75"/>
        <v>-0.62439082464843931</v>
      </c>
      <c r="K81" s="2">
        <f>D81/'Total Traffic'!D79</f>
        <v>0.48759550768664273</v>
      </c>
      <c r="L81" s="5">
        <f t="shared" si="64"/>
        <v>0.21381035540661728</v>
      </c>
      <c r="M81" s="5">
        <f t="shared" si="65"/>
        <v>0.68469462840323769</v>
      </c>
      <c r="N81" s="5">
        <f t="shared" si="66"/>
        <v>0.79946265448683507</v>
      </c>
      <c r="O81" s="5">
        <f t="shared" si="76"/>
        <v>-1.5356320540219404E-2</v>
      </c>
      <c r="P81" s="2">
        <f t="shared" ref="P81:R81" si="82">(L81/L74)-1</f>
        <v>-0.62534922302594298</v>
      </c>
      <c r="Q81" s="2">
        <f t="shared" si="82"/>
        <v>-1.4338147185656291E-3</v>
      </c>
      <c r="R81" s="2">
        <f t="shared" si="82"/>
        <v>3.9976578962688247E-3</v>
      </c>
      <c r="S81" s="3"/>
    </row>
    <row r="82" spans="3:19" x14ac:dyDescent="0.25">
      <c r="C82" s="1">
        <f t="shared" si="68"/>
        <v>43544</v>
      </c>
      <c r="D82">
        <v>63008</v>
      </c>
      <c r="E82">
        <v>36550</v>
      </c>
      <c r="F82">
        <v>25212</v>
      </c>
      <c r="G82">
        <v>19718</v>
      </c>
      <c r="H82">
        <f>'Total Traffic'!D80-'Page Sessions'!D82</f>
        <v>67309</v>
      </c>
      <c r="I82" s="2">
        <f t="shared" si="63"/>
        <v>0.31294438801422042</v>
      </c>
      <c r="J82" s="2">
        <f t="shared" si="75"/>
        <v>1.3807307633425303E-2</v>
      </c>
      <c r="K82" s="2">
        <f>D82/'Total Traffic'!D80</f>
        <v>0.48349793196589852</v>
      </c>
      <c r="L82" s="5">
        <f t="shared" si="64"/>
        <v>0.58008506856272224</v>
      </c>
      <c r="M82" s="5">
        <f t="shared" si="65"/>
        <v>0.68979480164158691</v>
      </c>
      <c r="N82" s="5">
        <f t="shared" si="66"/>
        <v>0.78208789465333972</v>
      </c>
      <c r="O82" s="5">
        <f t="shared" si="76"/>
        <v>-2.9702766073892106E-2</v>
      </c>
      <c r="P82" s="2">
        <f t="shared" ref="P82:R82" si="83">(L82/L75)-1</f>
        <v>-1.0527096673959013E-3</v>
      </c>
      <c r="Q82" s="2">
        <f t="shared" si="83"/>
        <v>2.3311511728098422E-2</v>
      </c>
      <c r="R82" s="2">
        <f t="shared" si="83"/>
        <v>-8.2436624249155876E-3</v>
      </c>
      <c r="S82" s="3"/>
    </row>
    <row r="83" spans="3:19" x14ac:dyDescent="0.25">
      <c r="C83" s="1">
        <f t="shared" si="68"/>
        <v>43545</v>
      </c>
      <c r="D83">
        <v>62219</v>
      </c>
      <c r="E83">
        <v>36671</v>
      </c>
      <c r="F83">
        <v>24756</v>
      </c>
      <c r="G83">
        <v>19393</v>
      </c>
      <c r="H83">
        <f>'Total Traffic'!D81-'Page Sessions'!D83</f>
        <v>68001</v>
      </c>
      <c r="I83" s="2">
        <f t="shared" si="63"/>
        <v>0.3116893553416159</v>
      </c>
      <c r="J83" s="2">
        <f t="shared" si="75"/>
        <v>4.2792609263373471E-3</v>
      </c>
      <c r="K83" s="2">
        <f>D83/'Total Traffic'!D81</f>
        <v>0.47779910919981572</v>
      </c>
      <c r="L83" s="5">
        <f t="shared" si="64"/>
        <v>0.58938587891158645</v>
      </c>
      <c r="M83" s="5">
        <f t="shared" si="65"/>
        <v>0.6750838537263778</v>
      </c>
      <c r="N83" s="5">
        <f t="shared" si="66"/>
        <v>0.78336564873162062</v>
      </c>
      <c r="O83" s="5">
        <f t="shared" si="76"/>
        <v>-4.3250140288297545E-2</v>
      </c>
      <c r="P83" s="2">
        <f t="shared" ref="P83:R83" si="84">(L83/L76)-1</f>
        <v>2.0313730238825656E-3</v>
      </c>
      <c r="Q83" s="2">
        <f t="shared" si="84"/>
        <v>-3.9861488055024097E-3</v>
      </c>
      <c r="R83" s="2">
        <f t="shared" si="84"/>
        <v>6.254410677815736E-3</v>
      </c>
      <c r="S83" s="3"/>
    </row>
    <row r="84" spans="3:19" x14ac:dyDescent="0.25">
      <c r="C84" s="1">
        <f t="shared" si="68"/>
        <v>43546</v>
      </c>
      <c r="D84">
        <v>63563</v>
      </c>
      <c r="E84">
        <v>37444</v>
      </c>
      <c r="F84">
        <v>25982</v>
      </c>
      <c r="G84">
        <v>20190</v>
      </c>
      <c r="H84">
        <f>'Total Traffic'!D82-'Page Sessions'!D84</f>
        <v>66904</v>
      </c>
      <c r="I84" s="2">
        <f t="shared" si="63"/>
        <v>0.31763761936975915</v>
      </c>
      <c r="J84" s="2">
        <f t="shared" si="75"/>
        <v>1.1771824322006408E-2</v>
      </c>
      <c r="K84" s="2">
        <f>D84/'Total Traffic'!D82</f>
        <v>0.48719599592234053</v>
      </c>
      <c r="L84" s="5">
        <f t="shared" si="64"/>
        <v>0.58908484495697178</v>
      </c>
      <c r="M84" s="5">
        <f t="shared" si="65"/>
        <v>0.69388954171562867</v>
      </c>
      <c r="N84" s="5">
        <f t="shared" si="66"/>
        <v>0.77707643753367717</v>
      </c>
      <c r="O84" s="5">
        <f t="shared" si="76"/>
        <v>-1.7540448560226851E-2</v>
      </c>
      <c r="P84" s="2">
        <f t="shared" ref="P84:R84" si="85">(L84/L77)-1</f>
        <v>1.6771990599748765E-3</v>
      </c>
      <c r="Q84" s="2">
        <f t="shared" si="85"/>
        <v>1.8664330892665504E-2</v>
      </c>
      <c r="R84" s="2">
        <f t="shared" si="85"/>
        <v>-8.4292810866447576E-3</v>
      </c>
      <c r="S84" s="3"/>
    </row>
    <row r="85" spans="3:19" x14ac:dyDescent="0.25">
      <c r="C85" s="1">
        <f t="shared" si="68"/>
        <v>43547</v>
      </c>
      <c r="D85">
        <v>62732</v>
      </c>
      <c r="E85">
        <v>37388</v>
      </c>
      <c r="F85">
        <v>25068</v>
      </c>
      <c r="G85">
        <v>19355</v>
      </c>
      <c r="H85">
        <f>'Total Traffic'!D83-'Page Sessions'!D85</f>
        <v>67283</v>
      </c>
      <c r="I85" s="2">
        <f t="shared" si="63"/>
        <v>0.30853471912261687</v>
      </c>
      <c r="J85" s="2">
        <f t="shared" si="75"/>
        <v>1.5011230999571357E-2</v>
      </c>
      <c r="K85" s="2">
        <f>D85/'Total Traffic'!D83</f>
        <v>0.48249817328769756</v>
      </c>
      <c r="L85" s="5">
        <f t="shared" si="64"/>
        <v>0.59599566409487981</v>
      </c>
      <c r="M85" s="5">
        <f t="shared" si="65"/>
        <v>0.67048250775649942</v>
      </c>
      <c r="N85" s="5">
        <f t="shared" si="66"/>
        <v>0.7720998883038136</v>
      </c>
      <c r="O85" s="5">
        <f t="shared" si="76"/>
        <v>-3.4225251209114238E-2</v>
      </c>
      <c r="P85" s="2">
        <f t="shared" ref="P85:R85" si="86">(L85/L78)-1</f>
        <v>2.919548415004658E-2</v>
      </c>
      <c r="Q85" s="2">
        <f t="shared" si="86"/>
        <v>-1.7978465262101784E-3</v>
      </c>
      <c r="R85" s="2">
        <f t="shared" si="86"/>
        <v>-1.2005622103753333E-2</v>
      </c>
      <c r="S85" s="3"/>
    </row>
    <row r="86" spans="3:19" x14ac:dyDescent="0.25">
      <c r="C86" s="1">
        <f t="shared" si="68"/>
        <v>43548</v>
      </c>
      <c r="D86">
        <v>63366</v>
      </c>
      <c r="E86">
        <v>37734</v>
      </c>
      <c r="F86">
        <v>25361</v>
      </c>
      <c r="G86">
        <v>20106</v>
      </c>
      <c r="H86">
        <f>'Total Traffic'!D84-'Page Sessions'!D86</f>
        <v>66831</v>
      </c>
      <c r="I86" s="2">
        <f t="shared" si="63"/>
        <v>0.31729949815358394</v>
      </c>
      <c r="J86" s="2">
        <f t="shared" si="75"/>
        <v>3.0429802827295127E-2</v>
      </c>
      <c r="K86" s="2">
        <f>D86/'Total Traffic'!D84</f>
        <v>0.48669324177976453</v>
      </c>
      <c r="L86" s="5">
        <f t="shared" si="64"/>
        <v>0.59549285105577121</v>
      </c>
      <c r="M86" s="5">
        <f t="shared" si="65"/>
        <v>0.67209943287221074</v>
      </c>
      <c r="N86" s="5">
        <f t="shared" si="66"/>
        <v>0.7927920823311384</v>
      </c>
      <c r="O86" s="5">
        <f t="shared" si="76"/>
        <v>-2.3682442299384654E-2</v>
      </c>
      <c r="P86" s="2">
        <f t="shared" ref="P86:R86" si="87">(L86/L79)-1</f>
        <v>4.2180711700269269E-2</v>
      </c>
      <c r="Q86" s="2">
        <f t="shared" si="87"/>
        <v>-1.3926333349400744E-2</v>
      </c>
      <c r="R86" s="2">
        <f t="shared" si="87"/>
        <v>2.6884654733310143E-3</v>
      </c>
      <c r="S86" s="3"/>
    </row>
    <row r="87" spans="3:19" x14ac:dyDescent="0.25">
      <c r="C87" s="1">
        <f t="shared" si="68"/>
        <v>43549</v>
      </c>
      <c r="D87">
        <v>63636</v>
      </c>
      <c r="E87">
        <v>37398</v>
      </c>
      <c r="F87">
        <v>25976</v>
      </c>
      <c r="G87">
        <v>20479</v>
      </c>
      <c r="H87">
        <f>'Total Traffic'!D85-'Page Sessions'!D87</f>
        <v>66446</v>
      </c>
      <c r="I87" s="2">
        <f t="shared" si="63"/>
        <v>0.32181469608397761</v>
      </c>
      <c r="J87" s="2">
        <f t="shared" si="75"/>
        <v>4.7277339091927439E-2</v>
      </c>
      <c r="K87" s="2">
        <f>D87/'Total Traffic'!D85</f>
        <v>0.48919912055472703</v>
      </c>
      <c r="L87" s="5">
        <f t="shared" si="64"/>
        <v>0.58768621534980203</v>
      </c>
      <c r="M87" s="5">
        <f t="shared" si="65"/>
        <v>0.69458259799989308</v>
      </c>
      <c r="N87" s="5">
        <f t="shared" si="66"/>
        <v>0.78838158299969208</v>
      </c>
      <c r="O87" s="5">
        <f t="shared" si="76"/>
        <v>-7.5003057672810014E-3</v>
      </c>
      <c r="P87" s="2">
        <f t="shared" ref="P87:R87" si="88">(L87/L80)-1</f>
        <v>1.0823423474912053E-2</v>
      </c>
      <c r="Q87" s="2">
        <f t="shared" si="88"/>
        <v>2.9646586476705705E-2</v>
      </c>
      <c r="R87" s="2">
        <f t="shared" si="88"/>
        <v>6.2322332546504988E-3</v>
      </c>
      <c r="S87" s="3"/>
    </row>
    <row r="88" spans="3:19" x14ac:dyDescent="0.25">
      <c r="C88" s="1">
        <f t="shared" si="68"/>
        <v>43550</v>
      </c>
      <c r="D88">
        <v>63762</v>
      </c>
      <c r="E88">
        <v>37052</v>
      </c>
      <c r="F88">
        <v>24895</v>
      </c>
      <c r="G88">
        <v>19567</v>
      </c>
      <c r="H88">
        <f>'Total Traffic'!D86-'Page Sessions'!D88</f>
        <v>67140</v>
      </c>
      <c r="I88" s="2">
        <f t="shared" si="63"/>
        <v>0.30687556852043535</v>
      </c>
      <c r="J88" s="2">
        <f t="shared" si="75"/>
        <v>1.6220349523763131</v>
      </c>
      <c r="K88" s="2">
        <f>D88/'Total Traffic'!D86</f>
        <v>0.48709721776596232</v>
      </c>
      <c r="L88" s="5">
        <f t="shared" si="64"/>
        <v>0.58109845989774478</v>
      </c>
      <c r="M88" s="5">
        <f t="shared" si="65"/>
        <v>0.67189355500377845</v>
      </c>
      <c r="N88" s="5">
        <f t="shared" si="66"/>
        <v>0.78598112070696924</v>
      </c>
      <c r="O88" s="5">
        <f t="shared" si="76"/>
        <v>-1.0219329604665983E-3</v>
      </c>
      <c r="P88" s="2">
        <f t="shared" ref="P88:R88" si="89">(L88/L81)-1</f>
        <v>1.7178218697248386</v>
      </c>
      <c r="Q88" s="2">
        <f t="shared" si="89"/>
        <v>-1.8696033046604055E-2</v>
      </c>
      <c r="R88" s="2">
        <f t="shared" si="89"/>
        <v>-1.6863243960431706E-2</v>
      </c>
      <c r="S88" s="3"/>
    </row>
    <row r="89" spans="3:19" x14ac:dyDescent="0.25">
      <c r="C89" s="1">
        <f t="shared" si="68"/>
        <v>43551</v>
      </c>
      <c r="D89">
        <v>62378</v>
      </c>
      <c r="E89">
        <v>36940</v>
      </c>
      <c r="F89">
        <v>24919</v>
      </c>
      <c r="G89">
        <v>19842</v>
      </c>
      <c r="H89">
        <f>'Total Traffic'!D87-'Page Sessions'!D89</f>
        <v>68449</v>
      </c>
      <c r="I89" s="2">
        <f t="shared" si="63"/>
        <v>0.31809291737471546</v>
      </c>
      <c r="J89" s="2">
        <f t="shared" si="75"/>
        <v>1.6451898668529807E-2</v>
      </c>
      <c r="K89" s="2">
        <f>D89/'Total Traffic'!D87</f>
        <v>0.47679760294128887</v>
      </c>
      <c r="L89" s="5">
        <f t="shared" si="64"/>
        <v>0.59219596652666007</v>
      </c>
      <c r="M89" s="5">
        <f t="shared" si="65"/>
        <v>0.67458040064970226</v>
      </c>
      <c r="N89" s="5">
        <f t="shared" si="66"/>
        <v>0.79625988201773745</v>
      </c>
      <c r="O89" s="5">
        <f t="shared" si="76"/>
        <v>-1.3858030369160335E-2</v>
      </c>
      <c r="P89" s="2">
        <f t="shared" ref="P89:R89" si="90">(L89/L82)-1</f>
        <v>2.0877796413455441E-2</v>
      </c>
      <c r="Q89" s="2">
        <f t="shared" si="90"/>
        <v>-2.2056415843780042E-2</v>
      </c>
      <c r="R89" s="2">
        <f t="shared" si="90"/>
        <v>1.8120709272299251E-2</v>
      </c>
      <c r="S89" s="3"/>
    </row>
    <row r="90" spans="3:19" x14ac:dyDescent="0.25">
      <c r="C90" s="1">
        <f t="shared" si="68"/>
        <v>43552</v>
      </c>
      <c r="D90">
        <v>64068</v>
      </c>
      <c r="E90">
        <v>37133</v>
      </c>
      <c r="F90">
        <v>25317</v>
      </c>
      <c r="G90">
        <v>20175</v>
      </c>
      <c r="H90">
        <f>'Total Traffic'!D88-'Page Sessions'!D90</f>
        <v>66471</v>
      </c>
      <c r="I90" s="2">
        <f t="shared" si="63"/>
        <v>0.31489979396890805</v>
      </c>
      <c r="J90" s="2">
        <f t="shared" si="75"/>
        <v>1.0300122773758025E-2</v>
      </c>
      <c r="K90" s="2">
        <f>D90/'Total Traffic'!D88</f>
        <v>0.49079585411256405</v>
      </c>
      <c r="L90" s="5">
        <f t="shared" si="64"/>
        <v>0.57958731347942816</v>
      </c>
      <c r="M90" s="5">
        <f t="shared" si="65"/>
        <v>0.68179247569547308</v>
      </c>
      <c r="N90" s="5">
        <f t="shared" si="66"/>
        <v>0.79689536674961492</v>
      </c>
      <c r="O90" s="5">
        <f t="shared" si="76"/>
        <v>2.7201274892526106E-2</v>
      </c>
      <c r="P90" s="2">
        <f t="shared" ref="P90:R90" si="91">(L90/L83)-1</f>
        <v>-1.6625042748314889E-2</v>
      </c>
      <c r="Q90" s="2">
        <f t="shared" si="91"/>
        <v>9.9374647046652775E-3</v>
      </c>
      <c r="R90" s="2">
        <f t="shared" si="91"/>
        <v>1.7271267944797941E-2</v>
      </c>
      <c r="S90" s="3"/>
    </row>
    <row r="91" spans="3:19" x14ac:dyDescent="0.25">
      <c r="C91" s="1">
        <f t="shared" si="68"/>
        <v>43553</v>
      </c>
      <c r="D91">
        <v>62461</v>
      </c>
      <c r="E91">
        <v>37158</v>
      </c>
      <c r="F91">
        <v>24907</v>
      </c>
      <c r="G91">
        <v>19915</v>
      </c>
      <c r="H91">
        <f>'Total Traffic'!D89-'Page Sessions'!D91</f>
        <v>68293</v>
      </c>
      <c r="I91" s="2">
        <f t="shared" si="63"/>
        <v>0.31883895550823715</v>
      </c>
      <c r="J91" s="2">
        <f t="shared" si="75"/>
        <v>3.7820965314550037E-3</v>
      </c>
      <c r="K91" s="2">
        <f>D91/'Total Traffic'!D89</f>
        <v>0.47769857901096718</v>
      </c>
      <c r="L91" s="5">
        <f t="shared" si="64"/>
        <v>0.59489921711147753</v>
      </c>
      <c r="M91" s="5">
        <f t="shared" si="65"/>
        <v>0.67029980085042251</v>
      </c>
      <c r="N91" s="5">
        <f t="shared" si="66"/>
        <v>0.79957441683060981</v>
      </c>
      <c r="O91" s="5">
        <f t="shared" si="76"/>
        <v>-1.9494037288613653E-2</v>
      </c>
      <c r="P91" s="2">
        <f t="shared" ref="P91:R91" si="92">(L91/L84)-1</f>
        <v>9.8701777923526635E-3</v>
      </c>
      <c r="Q91" s="2">
        <f t="shared" si="92"/>
        <v>-3.3996392000491871E-2</v>
      </c>
      <c r="R91" s="2">
        <f t="shared" si="92"/>
        <v>2.8952080143284098E-2</v>
      </c>
      <c r="S91" s="3"/>
    </row>
    <row r="92" spans="3:19" x14ac:dyDescent="0.25">
      <c r="C92" s="1">
        <f t="shared" si="68"/>
        <v>43554</v>
      </c>
      <c r="D92">
        <v>62071</v>
      </c>
      <c r="E92">
        <v>36417</v>
      </c>
      <c r="F92">
        <v>24665</v>
      </c>
      <c r="G92">
        <v>19349</v>
      </c>
      <c r="H92">
        <f>'Total Traffic'!D90-'Page Sessions'!D92</f>
        <v>68440</v>
      </c>
      <c r="I92" s="2">
        <f t="shared" si="63"/>
        <v>0.31172367127966361</v>
      </c>
      <c r="J92" s="2">
        <f t="shared" si="75"/>
        <v>1.0335796782012796E-2</v>
      </c>
      <c r="K92" s="2">
        <f>D92/'Total Traffic'!D90</f>
        <v>0.47559975787481518</v>
      </c>
      <c r="L92" s="5">
        <f t="shared" si="64"/>
        <v>0.58669910264052461</v>
      </c>
      <c r="M92" s="5">
        <f t="shared" si="65"/>
        <v>0.67729357168355442</v>
      </c>
      <c r="N92" s="5">
        <f t="shared" si="66"/>
        <v>0.78447192377863373</v>
      </c>
      <c r="O92" s="5">
        <f t="shared" si="76"/>
        <v>-1.4297288144900611E-2</v>
      </c>
      <c r="P92" s="2">
        <f t="shared" ref="P92:R92" si="93">(L92/L85)-1</f>
        <v>-1.5598370952032981E-2</v>
      </c>
      <c r="Q92" s="2">
        <f t="shared" si="93"/>
        <v>1.0158451336553798E-2</v>
      </c>
      <c r="R92" s="2">
        <f t="shared" si="93"/>
        <v>1.6023879373949335E-2</v>
      </c>
      <c r="S92" s="3"/>
    </row>
    <row r="93" spans="3:19" x14ac:dyDescent="0.25">
      <c r="C93" s="1">
        <f t="shared" si="68"/>
        <v>43555</v>
      </c>
      <c r="D93">
        <v>61554</v>
      </c>
      <c r="E93">
        <v>35288</v>
      </c>
      <c r="F93">
        <v>23925</v>
      </c>
      <c r="G93">
        <v>18659</v>
      </c>
      <c r="H93">
        <f>'Total Traffic'!D91-'Page Sessions'!D93</f>
        <v>68720</v>
      </c>
      <c r="I93" s="2">
        <f t="shared" si="63"/>
        <v>0.3031322091171979</v>
      </c>
      <c r="J93" s="2">
        <f t="shared" si="75"/>
        <v>-4.4649579084832247E-2</v>
      </c>
      <c r="K93" s="2">
        <f>D93/'Total Traffic'!D91</f>
        <v>0.47249643060011975</v>
      </c>
      <c r="L93" s="5">
        <f t="shared" si="64"/>
        <v>0.5732852454755174</v>
      </c>
      <c r="M93" s="5">
        <f t="shared" si="65"/>
        <v>0.67799251870324184</v>
      </c>
      <c r="N93" s="5">
        <f t="shared" si="66"/>
        <v>0.77989550679205855</v>
      </c>
      <c r="O93" s="5">
        <f t="shared" si="76"/>
        <v>-2.9169936956036535E-2</v>
      </c>
      <c r="P93" s="2">
        <f t="shared" ref="P93:R93" si="94">(L93/L86)-1</f>
        <v>-3.7292816430761766E-2</v>
      </c>
      <c r="Q93" s="2">
        <f t="shared" si="94"/>
        <v>8.7681755746273904E-3</v>
      </c>
      <c r="R93" s="2">
        <f t="shared" si="94"/>
        <v>-1.6267285996548475E-2</v>
      </c>
      <c r="S93" s="3"/>
    </row>
    <row r="94" spans="3:19" x14ac:dyDescent="0.25">
      <c r="C94" s="1">
        <f t="shared" si="68"/>
        <v>43556</v>
      </c>
      <c r="D94">
        <v>64543</v>
      </c>
      <c r="E94">
        <v>38706</v>
      </c>
      <c r="F94">
        <v>26149</v>
      </c>
      <c r="G94">
        <v>20210</v>
      </c>
      <c r="H94">
        <f>'Total Traffic'!D92-'Page Sessions'!D94</f>
        <v>65532</v>
      </c>
      <c r="I94" s="2">
        <f t="shared" si="63"/>
        <v>0.31312458361092604</v>
      </c>
      <c r="J94" s="2">
        <f t="shared" si="75"/>
        <v>-2.7003466836032497E-2</v>
      </c>
      <c r="K94" s="2">
        <f>D94/'Total Traffic'!D92</f>
        <v>0.49619834710743804</v>
      </c>
      <c r="L94" s="5">
        <f t="shared" si="64"/>
        <v>0.5996932277706335</v>
      </c>
      <c r="M94" s="5">
        <f t="shared" si="65"/>
        <v>0.67558001343460961</v>
      </c>
      <c r="N94" s="5">
        <f t="shared" si="66"/>
        <v>0.77287850395808633</v>
      </c>
      <c r="O94" s="5">
        <f t="shared" si="76"/>
        <v>1.4307520718300326E-2</v>
      </c>
      <c r="P94" s="2">
        <f t="shared" ref="P94:R94" si="95">(L94/L87)-1</f>
        <v>2.043099209615562E-2</v>
      </c>
      <c r="Q94" s="2">
        <f t="shared" si="95"/>
        <v>-2.7358279087329462E-2</v>
      </c>
      <c r="R94" s="2">
        <f t="shared" si="95"/>
        <v>-1.966443582131705E-2</v>
      </c>
      <c r="S94" s="3"/>
    </row>
    <row r="95" spans="3:19" x14ac:dyDescent="0.25">
      <c r="C95" s="1">
        <f t="shared" si="68"/>
        <v>43557</v>
      </c>
      <c r="D95">
        <v>64805</v>
      </c>
      <c r="E95">
        <v>38662</v>
      </c>
      <c r="F95">
        <v>25922</v>
      </c>
      <c r="G95">
        <v>20561</v>
      </c>
      <c r="H95">
        <f>'Total Traffic'!D93-'Page Sessions'!D95</f>
        <v>65956</v>
      </c>
      <c r="I95" s="2">
        <f t="shared" si="63"/>
        <v>0.31727490162796079</v>
      </c>
      <c r="J95" s="2">
        <f t="shared" si="75"/>
        <v>3.3887784412635513E-2</v>
      </c>
      <c r="K95" s="2">
        <f>D95/'Total Traffic'!D93</f>
        <v>0.49559884063291043</v>
      </c>
      <c r="L95" s="5">
        <f t="shared" si="64"/>
        <v>0.59658976930792373</v>
      </c>
      <c r="M95" s="5">
        <f t="shared" si="65"/>
        <v>0.67047747141896441</v>
      </c>
      <c r="N95" s="5">
        <f t="shared" si="66"/>
        <v>0.79318725406990198</v>
      </c>
      <c r="O95" s="5">
        <f t="shared" si="76"/>
        <v>1.7453646945347456E-2</v>
      </c>
      <c r="P95" s="2">
        <f t="shared" ref="P95:R95" si="96">(L95/L88)-1</f>
        <v>2.6658665405695503E-2</v>
      </c>
      <c r="Q95" s="2">
        <f t="shared" si="96"/>
        <v>-2.1076010839337078E-3</v>
      </c>
      <c r="R95" s="2">
        <f t="shared" si="96"/>
        <v>9.168328822517946E-3</v>
      </c>
      <c r="S95" s="3"/>
    </row>
    <row r="96" spans="3:19" x14ac:dyDescent="0.25">
      <c r="C96" s="1">
        <f t="shared" si="68"/>
        <v>43558</v>
      </c>
      <c r="D96">
        <v>64340</v>
      </c>
      <c r="E96">
        <v>37188</v>
      </c>
      <c r="F96">
        <v>25354</v>
      </c>
      <c r="G96">
        <v>19831</v>
      </c>
      <c r="H96">
        <f>'Total Traffic'!D94-'Page Sessions'!D96</f>
        <v>66328</v>
      </c>
      <c r="I96" s="2">
        <f t="shared" si="63"/>
        <v>0.3082219459123407</v>
      </c>
      <c r="J96" s="2">
        <f t="shared" si="75"/>
        <v>-3.1031723509727493E-2</v>
      </c>
      <c r="K96" s="2">
        <f>D96/'Total Traffic'!D94</f>
        <v>0.49239293476597179</v>
      </c>
      <c r="L96" s="5">
        <f t="shared" si="64"/>
        <v>0.57799191793596516</v>
      </c>
      <c r="M96" s="5">
        <f t="shared" si="65"/>
        <v>0.68177906851672587</v>
      </c>
      <c r="N96" s="5">
        <f t="shared" si="66"/>
        <v>0.78216454997239093</v>
      </c>
      <c r="O96" s="5">
        <f t="shared" si="76"/>
        <v>3.2708494607518457E-2</v>
      </c>
      <c r="P96" s="2">
        <f t="shared" ref="P96:R96" si="97">(L96/L89)-1</f>
        <v>-2.3985385570935769E-2</v>
      </c>
      <c r="Q96" s="2">
        <f t="shared" si="97"/>
        <v>1.0671326738948217E-2</v>
      </c>
      <c r="R96" s="2">
        <f t="shared" si="97"/>
        <v>-1.7701924162785487E-2</v>
      </c>
      <c r="S96" s="3"/>
    </row>
    <row r="97" spans="3:19" x14ac:dyDescent="0.25">
      <c r="C97" s="1">
        <f t="shared" si="68"/>
        <v>43559</v>
      </c>
      <c r="D97">
        <v>62766</v>
      </c>
      <c r="E97">
        <v>37552</v>
      </c>
      <c r="F97">
        <v>25978</v>
      </c>
      <c r="G97">
        <v>20026</v>
      </c>
      <c r="H97">
        <f>'Total Traffic'!D95-'Page Sessions'!D97</f>
        <v>67401</v>
      </c>
      <c r="I97" s="2">
        <f t="shared" si="63"/>
        <v>0.31905808877417713</v>
      </c>
      <c r="J97" s="2">
        <f t="shared" si="75"/>
        <v>1.3205136633654524E-2</v>
      </c>
      <c r="K97" s="2">
        <f>D97/'Total Traffic'!D95</f>
        <v>0.48219594828182261</v>
      </c>
      <c r="L97" s="5">
        <f t="shared" si="64"/>
        <v>0.59828569607749416</v>
      </c>
      <c r="M97" s="5">
        <f t="shared" si="65"/>
        <v>0.69178738815509155</v>
      </c>
      <c r="N97" s="5">
        <f t="shared" si="66"/>
        <v>0.77088305489260145</v>
      </c>
      <c r="O97" s="5">
        <f t="shared" si="76"/>
        <v>-1.752236853404443E-2</v>
      </c>
      <c r="P97" s="2">
        <f t="shared" ref="P97:R97" si="98">(L97/L90)-1</f>
        <v>3.2261545695012384E-2</v>
      </c>
      <c r="Q97" s="2">
        <f t="shared" si="98"/>
        <v>1.4659757647549565E-2</v>
      </c>
      <c r="R97" s="2">
        <f t="shared" si="98"/>
        <v>-3.2642066879009168E-2</v>
      </c>
      <c r="S97" s="3"/>
    </row>
    <row r="98" spans="3:19" x14ac:dyDescent="0.25">
      <c r="C98" s="1">
        <f t="shared" si="68"/>
        <v>43560</v>
      </c>
      <c r="D98">
        <v>64056</v>
      </c>
      <c r="E98">
        <v>36748</v>
      </c>
      <c r="F98">
        <v>24845</v>
      </c>
      <c r="G98">
        <v>19384</v>
      </c>
      <c r="H98">
        <f>'Total Traffic'!D96-'Page Sessions'!D98</f>
        <v>66725</v>
      </c>
      <c r="I98" s="2">
        <f t="shared" si="63"/>
        <v>0.30261021606094668</v>
      </c>
      <c r="J98" s="2">
        <f t="shared" si="75"/>
        <v>-5.0899487552960587E-2</v>
      </c>
      <c r="K98" s="2">
        <f>D98/'Total Traffic'!D96</f>
        <v>0.48979591836734693</v>
      </c>
      <c r="L98" s="5">
        <f t="shared" si="64"/>
        <v>0.57368552516548021</v>
      </c>
      <c r="M98" s="5">
        <f t="shared" si="65"/>
        <v>0.67609121584848153</v>
      </c>
      <c r="N98" s="5">
        <f t="shared" si="66"/>
        <v>0.7801972227812437</v>
      </c>
      <c r="O98" s="5">
        <f t="shared" si="76"/>
        <v>2.5324210470598851E-2</v>
      </c>
      <c r="P98" s="2">
        <f t="shared" ref="P98:R98" si="99">(L98/L91)-1</f>
        <v>-3.5659303854861379E-2</v>
      </c>
      <c r="Q98" s="2">
        <f t="shared" si="99"/>
        <v>8.6400368770978009E-3</v>
      </c>
      <c r="R98" s="2">
        <f t="shared" si="99"/>
        <v>-2.4234384744542425E-2</v>
      </c>
      <c r="S98" s="3"/>
    </row>
    <row r="99" spans="3:19" x14ac:dyDescent="0.25">
      <c r="C99" s="1">
        <f t="shared" si="68"/>
        <v>43561</v>
      </c>
      <c r="D99">
        <v>63076</v>
      </c>
      <c r="E99">
        <v>36962</v>
      </c>
      <c r="F99">
        <v>25500</v>
      </c>
      <c r="G99">
        <v>20282</v>
      </c>
      <c r="H99">
        <f>'Total Traffic'!D97-'Page Sessions'!D99</f>
        <v>67598</v>
      </c>
      <c r="I99" s="2">
        <f t="shared" si="63"/>
        <v>0.32154860802841018</v>
      </c>
      <c r="J99" s="2">
        <f t="shared" si="75"/>
        <v>3.1518096487231917E-2</v>
      </c>
      <c r="K99" s="2">
        <f>D99/'Total Traffic'!D97</f>
        <v>0.48269739963573471</v>
      </c>
      <c r="L99" s="5">
        <f t="shared" si="64"/>
        <v>0.58599150231466801</v>
      </c>
      <c r="M99" s="5">
        <f t="shared" si="65"/>
        <v>0.68989773280666633</v>
      </c>
      <c r="N99" s="5">
        <f t="shared" si="66"/>
        <v>0.79537254901960786</v>
      </c>
      <c r="O99" s="5">
        <f t="shared" si="76"/>
        <v>1.4923560501028943E-2</v>
      </c>
      <c r="P99" s="2">
        <f t="shared" ref="P99:R99" si="100">(L99/L92)-1</f>
        <v>-1.2060702371486931E-3</v>
      </c>
      <c r="Q99" s="2">
        <f t="shared" si="100"/>
        <v>1.8609598038531017E-2</v>
      </c>
      <c r="R99" s="2">
        <f t="shared" si="100"/>
        <v>1.3895494421862997E-2</v>
      </c>
      <c r="S99" s="3"/>
    </row>
    <row r="100" spans="3:19" x14ac:dyDescent="0.25">
      <c r="C100" s="1">
        <f t="shared" si="68"/>
        <v>43562</v>
      </c>
      <c r="D100">
        <v>62258</v>
      </c>
      <c r="E100">
        <v>35648</v>
      </c>
      <c r="F100">
        <v>24076</v>
      </c>
      <c r="G100">
        <v>18560</v>
      </c>
      <c r="H100">
        <f>'Total Traffic'!D98-'Page Sessions'!D100</f>
        <v>68100</v>
      </c>
      <c r="I100" s="2">
        <f t="shared" si="63"/>
        <v>0.29811429856403998</v>
      </c>
      <c r="J100" s="2">
        <f t="shared" si="75"/>
        <v>-1.6553538034679405E-2</v>
      </c>
      <c r="K100" s="2">
        <f>D100/'Total Traffic'!D98</f>
        <v>0.47759247610426669</v>
      </c>
      <c r="L100" s="5">
        <f t="shared" si="64"/>
        <v>0.5725850493109319</v>
      </c>
      <c r="M100" s="5">
        <f t="shared" si="65"/>
        <v>0.67538150807899466</v>
      </c>
      <c r="N100" s="5">
        <f t="shared" si="66"/>
        <v>0.77089217477986371</v>
      </c>
      <c r="O100" s="5">
        <f t="shared" si="76"/>
        <v>1.0785362965968659E-2</v>
      </c>
      <c r="P100" s="2">
        <f t="shared" ref="P100:R100" si="101">(L100/L93)-1</f>
        <v>-1.221374821891219E-3</v>
      </c>
      <c r="Q100" s="2">
        <f t="shared" si="101"/>
        <v>-3.8510906126827393E-3</v>
      </c>
      <c r="R100" s="2">
        <f t="shared" si="101"/>
        <v>-1.1544279885940423E-2</v>
      </c>
      <c r="S100" s="3"/>
    </row>
    <row r="101" spans="3:19" x14ac:dyDescent="0.25">
      <c r="C101" s="1">
        <f t="shared" si="68"/>
        <v>43563</v>
      </c>
      <c r="D101">
        <v>62788</v>
      </c>
      <c r="E101">
        <v>37390</v>
      </c>
      <c r="F101">
        <v>25268</v>
      </c>
      <c r="G101">
        <v>19853</v>
      </c>
      <c r="H101">
        <f>'Total Traffic'!D99-'Page Sessions'!D101</f>
        <v>68213</v>
      </c>
      <c r="I101" s="2">
        <f t="shared" si="63"/>
        <v>0.31619099190928202</v>
      </c>
      <c r="J101" s="2">
        <f t="shared" si="75"/>
        <v>9.7929337358133584E-3</v>
      </c>
      <c r="K101" s="2">
        <f>D101/'Total Traffic'!D99</f>
        <v>0.47929405119044893</v>
      </c>
      <c r="L101" s="5">
        <f t="shared" si="64"/>
        <v>0.59549595464101424</v>
      </c>
      <c r="M101" s="5">
        <f t="shared" si="65"/>
        <v>0.67579566729071949</v>
      </c>
      <c r="N101" s="5">
        <f t="shared" si="66"/>
        <v>0.78569732467943643</v>
      </c>
      <c r="O101" s="5">
        <f t="shared" si="76"/>
        <v>-3.4067618353692208E-2</v>
      </c>
      <c r="P101" s="2">
        <f t="shared" ref="P101:R101" si="102">(L101/L94)-1</f>
        <v>-6.9990337313340367E-3</v>
      </c>
      <c r="Q101" s="2">
        <f t="shared" si="102"/>
        <v>3.1921290124237167E-4</v>
      </c>
      <c r="R101" s="2">
        <f t="shared" si="102"/>
        <v>1.6585816083255045E-2</v>
      </c>
      <c r="S101" s="3"/>
    </row>
    <row r="102" spans="3:19" x14ac:dyDescent="0.25">
      <c r="C102" s="1">
        <f t="shared" si="68"/>
        <v>43564</v>
      </c>
      <c r="D102">
        <v>61939</v>
      </c>
      <c r="E102">
        <v>35899</v>
      </c>
      <c r="F102">
        <v>24913</v>
      </c>
      <c r="G102">
        <v>19656</v>
      </c>
      <c r="H102">
        <f>'Total Traffic'!D100-'Page Sessions'!D102</f>
        <v>68872</v>
      </c>
      <c r="I102" s="2">
        <f t="shared" si="63"/>
        <v>0.31734448408918453</v>
      </c>
      <c r="J102" s="2">
        <f t="shared" si="75"/>
        <v>2.1931284468679202E-4</v>
      </c>
      <c r="K102" s="2">
        <f>D102/'Total Traffic'!D100</f>
        <v>0.47349993502075516</v>
      </c>
      <c r="L102" s="5">
        <f t="shared" si="64"/>
        <v>0.57958636723227697</v>
      </c>
      <c r="M102" s="5">
        <f t="shared" si="65"/>
        <v>0.69397476252820411</v>
      </c>
      <c r="N102" s="5">
        <f t="shared" si="66"/>
        <v>0.78898567013205956</v>
      </c>
      <c r="O102" s="5">
        <f t="shared" si="76"/>
        <v>-4.4590309339573087E-2</v>
      </c>
      <c r="P102" s="2">
        <f t="shared" ref="P102:R102" si="103">(L102/L95)-1</f>
        <v>-2.850099507299908E-2</v>
      </c>
      <c r="Q102" s="2">
        <f t="shared" si="103"/>
        <v>3.5045608705556175E-2</v>
      </c>
      <c r="R102" s="2">
        <f t="shared" si="103"/>
        <v>-5.2970895791426553E-3</v>
      </c>
      <c r="S102" s="3"/>
    </row>
    <row r="103" spans="3:19" x14ac:dyDescent="0.25">
      <c r="C103" s="1">
        <f t="shared" si="68"/>
        <v>43565</v>
      </c>
      <c r="D103">
        <v>62170</v>
      </c>
      <c r="E103">
        <v>35865</v>
      </c>
      <c r="F103">
        <v>24632</v>
      </c>
      <c r="G103">
        <v>19471</v>
      </c>
      <c r="H103">
        <f>'Total Traffic'!D101-'Page Sessions'!D103</f>
        <v>68275</v>
      </c>
      <c r="I103" s="2">
        <f t="shared" si="63"/>
        <v>0.31318964130609617</v>
      </c>
      <c r="J103" s="2">
        <f t="shared" si="75"/>
        <v>1.6117266987757839E-2</v>
      </c>
      <c r="K103" s="2">
        <f>D103/'Total Traffic'!D101</f>
        <v>0.47659933305224422</v>
      </c>
      <c r="L103" s="5">
        <f t="shared" si="64"/>
        <v>0.57688595785748753</v>
      </c>
      <c r="M103" s="5">
        <f t="shared" si="65"/>
        <v>0.6867977136484037</v>
      </c>
      <c r="N103" s="5">
        <f t="shared" si="66"/>
        <v>0.79047580383241312</v>
      </c>
      <c r="O103" s="5">
        <f t="shared" si="76"/>
        <v>-3.2075199700487333E-2</v>
      </c>
      <c r="P103" s="2">
        <f t="shared" ref="P103:R103" si="104">(L103/L96)-1</f>
        <v>-1.9134524967530098E-3</v>
      </c>
      <c r="Q103" s="2">
        <f t="shared" si="104"/>
        <v>7.3611018047186061E-3</v>
      </c>
      <c r="R103" s="2">
        <f t="shared" si="104"/>
        <v>1.0625965930462611E-2</v>
      </c>
      <c r="S103" s="3"/>
    </row>
    <row r="104" spans="3:19" x14ac:dyDescent="0.25">
      <c r="C104" s="1">
        <f t="shared" si="68"/>
        <v>43566</v>
      </c>
      <c r="D104">
        <v>62912</v>
      </c>
      <c r="E104">
        <v>36501</v>
      </c>
      <c r="F104">
        <v>25105</v>
      </c>
      <c r="G104">
        <v>19988</v>
      </c>
      <c r="H104">
        <f>'Total Traffic'!D102-'Page Sessions'!D104</f>
        <v>67775</v>
      </c>
      <c r="I104" s="2">
        <f t="shared" si="63"/>
        <v>0.31771363173957273</v>
      </c>
      <c r="J104" s="2">
        <f t="shared" si="75"/>
        <v>-4.213831530709089E-3</v>
      </c>
      <c r="K104" s="2">
        <f>D104/'Total Traffic'!D102</f>
        <v>0.4813944768798733</v>
      </c>
      <c r="L104" s="5">
        <f t="shared" si="64"/>
        <v>0.58019137843336721</v>
      </c>
      <c r="M104" s="5">
        <f t="shared" si="65"/>
        <v>0.68778937563354425</v>
      </c>
      <c r="N104" s="5">
        <f t="shared" si="66"/>
        <v>0.796176060545708</v>
      </c>
      <c r="O104" s="5">
        <f t="shared" si="76"/>
        <v>-1.6621280307417274E-3</v>
      </c>
      <c r="P104" s="2">
        <f t="shared" ref="P104:R104" si="105">(L104/L97)-1</f>
        <v>-3.0243607297914088E-2</v>
      </c>
      <c r="Q104" s="2">
        <f t="shared" si="105"/>
        <v>-5.7792503737448264E-3</v>
      </c>
      <c r="R104" s="2">
        <f t="shared" si="105"/>
        <v>3.2810431481893554E-2</v>
      </c>
      <c r="S104" s="3"/>
    </row>
    <row r="105" spans="3:19" x14ac:dyDescent="0.25">
      <c r="C105" s="1">
        <f t="shared" si="68"/>
        <v>43567</v>
      </c>
      <c r="D105">
        <v>64987</v>
      </c>
      <c r="E105">
        <v>37263</v>
      </c>
      <c r="F105">
        <v>25633</v>
      </c>
      <c r="G105">
        <v>19839</v>
      </c>
      <c r="H105">
        <f>'Total Traffic'!D103-'Page Sessions'!D105</f>
        <v>65093</v>
      </c>
      <c r="I105" s="2">
        <f t="shared" si="63"/>
        <v>0.30527643990336528</v>
      </c>
      <c r="J105" s="2">
        <f t="shared" si="75"/>
        <v>8.8107529121939088E-3</v>
      </c>
      <c r="K105" s="2">
        <f>D105/'Total Traffic'!D103</f>
        <v>0.49959255842558425</v>
      </c>
      <c r="L105" s="5">
        <f t="shared" si="64"/>
        <v>0.57339160139720247</v>
      </c>
      <c r="M105" s="5">
        <f t="shared" si="65"/>
        <v>0.68789415774360629</v>
      </c>
      <c r="N105" s="5">
        <f t="shared" si="66"/>
        <v>0.77396325049740566</v>
      </c>
      <c r="O105" s="5">
        <f t="shared" si="76"/>
        <v>2.0001473452234464E-2</v>
      </c>
      <c r="P105" s="2">
        <f t="shared" ref="P105:R105" si="106">(L105/L98)-1</f>
        <v>-5.1234300916513931E-4</v>
      </c>
      <c r="Q105" s="2">
        <f t="shared" si="106"/>
        <v>1.7457617579474505E-2</v>
      </c>
      <c r="R105" s="2">
        <f t="shared" si="106"/>
        <v>-7.9902518258334609E-3</v>
      </c>
      <c r="S105" s="3"/>
    </row>
    <row r="106" spans="3:19" x14ac:dyDescent="0.25">
      <c r="C106" s="1">
        <f t="shared" si="68"/>
        <v>43568</v>
      </c>
      <c r="D106">
        <v>64786</v>
      </c>
      <c r="E106">
        <v>38580</v>
      </c>
      <c r="F106">
        <v>26616</v>
      </c>
      <c r="G106">
        <v>20779</v>
      </c>
      <c r="H106">
        <f>'Total Traffic'!D104-'Page Sessions'!D106</f>
        <v>65675</v>
      </c>
      <c r="I106" s="2">
        <f t="shared" si="63"/>
        <v>0.32073287438644149</v>
      </c>
      <c r="J106" s="2">
        <f t="shared" si="75"/>
        <v>-2.5368906025449167E-3</v>
      </c>
      <c r="K106" s="2">
        <f>D106/'Total Traffic'!D104</f>
        <v>0.49659285150351445</v>
      </c>
      <c r="L106" s="5">
        <f t="shared" si="64"/>
        <v>0.59549902756768436</v>
      </c>
      <c r="M106" s="5">
        <f t="shared" si="65"/>
        <v>0.68989113530326596</v>
      </c>
      <c r="N106" s="5">
        <f t="shared" si="66"/>
        <v>0.78069582206191768</v>
      </c>
      <c r="O106" s="5">
        <f t="shared" si="76"/>
        <v>2.8787086647381832E-2</v>
      </c>
      <c r="P106" s="2">
        <f t="shared" ref="P106:R106" si="107">(L106/L99)-1</f>
        <v>1.622468110111086E-2</v>
      </c>
      <c r="Q106" s="2">
        <f t="shared" si="107"/>
        <v>-9.5630164974602749E-6</v>
      </c>
      <c r="R106" s="2">
        <f t="shared" si="107"/>
        <v>-1.8452644582442557E-2</v>
      </c>
      <c r="S106" s="3"/>
    </row>
    <row r="107" spans="3:19" x14ac:dyDescent="0.25">
      <c r="C107" s="1">
        <f t="shared" si="68"/>
        <v>43569</v>
      </c>
      <c r="D107">
        <v>64805</v>
      </c>
      <c r="E107">
        <v>37612</v>
      </c>
      <c r="F107">
        <v>26208</v>
      </c>
      <c r="G107">
        <v>20198</v>
      </c>
      <c r="H107">
        <f>'Total Traffic'!D105-'Page Sessions'!D107</f>
        <v>65773</v>
      </c>
      <c r="I107" s="2">
        <f t="shared" si="63"/>
        <v>0.3116734819844148</v>
      </c>
      <c r="J107" s="2">
        <f t="shared" si="75"/>
        <v>4.5483170333280976E-2</v>
      </c>
      <c r="K107" s="2">
        <f>D107/'Total Traffic'!D105</f>
        <v>0.49629340317664539</v>
      </c>
      <c r="L107" s="5">
        <f t="shared" si="64"/>
        <v>0.58038731579353442</v>
      </c>
      <c r="M107" s="5">
        <f t="shared" si="65"/>
        <v>0.6967988939700096</v>
      </c>
      <c r="N107" s="5">
        <f t="shared" si="66"/>
        <v>0.77068070818070822</v>
      </c>
      <c r="O107" s="5">
        <f t="shared" si="76"/>
        <v>3.9156661815367366E-2</v>
      </c>
      <c r="P107" s="2">
        <f t="shared" ref="P107:R107" si="108">(L107/L100)-1</f>
        <v>1.3626388764415021E-2</v>
      </c>
      <c r="Q107" s="2">
        <f t="shared" si="108"/>
        <v>3.17115373086434E-2</v>
      </c>
      <c r="R107" s="2">
        <f t="shared" si="108"/>
        <v>-2.743141078269673E-4</v>
      </c>
      <c r="S107" s="3"/>
    </row>
    <row r="108" spans="3:19" x14ac:dyDescent="0.25">
      <c r="C108" s="1">
        <f t="shared" si="68"/>
        <v>43570</v>
      </c>
      <c r="D108">
        <v>64404</v>
      </c>
      <c r="E108">
        <v>36948</v>
      </c>
      <c r="F108">
        <v>24906</v>
      </c>
      <c r="G108">
        <v>19454</v>
      </c>
      <c r="H108">
        <f>'Total Traffic'!D106-'Page Sessions'!D108</f>
        <v>66633</v>
      </c>
      <c r="I108" s="2">
        <f t="shared" si="63"/>
        <v>0.30206198372771875</v>
      </c>
      <c r="J108" s="2">
        <f t="shared" si="75"/>
        <v>-4.4685043353850484E-2</v>
      </c>
      <c r="K108" s="2">
        <f>D108/'Total Traffic'!D106</f>
        <v>0.49149476865312852</v>
      </c>
      <c r="L108" s="5">
        <f t="shared" si="64"/>
        <v>0.57369107508850381</v>
      </c>
      <c r="M108" s="5">
        <f t="shared" si="65"/>
        <v>0.67408249431633649</v>
      </c>
      <c r="N108" s="5">
        <f t="shared" si="66"/>
        <v>0.78109692443587886</v>
      </c>
      <c r="O108" s="5">
        <f t="shared" si="76"/>
        <v>2.5455599610251678E-2</v>
      </c>
      <c r="P108" s="2">
        <f t="shared" ref="P108:R108" si="109">(L108/L101)-1</f>
        <v>-3.6616335312731341E-2</v>
      </c>
      <c r="Q108" s="2">
        <f t="shared" si="109"/>
        <v>-2.5350458094103301E-3</v>
      </c>
      <c r="R108" s="2">
        <f t="shared" si="109"/>
        <v>-5.8551812498973677E-3</v>
      </c>
      <c r="S108" s="3"/>
    </row>
    <row r="109" spans="3:19" x14ac:dyDescent="0.25">
      <c r="C109" s="1">
        <f t="shared" si="68"/>
        <v>43571</v>
      </c>
      <c r="D109">
        <v>64833</v>
      </c>
      <c r="E109">
        <v>37693</v>
      </c>
      <c r="F109">
        <v>25653</v>
      </c>
      <c r="G109">
        <v>19755</v>
      </c>
      <c r="H109">
        <f>'Total Traffic'!D107-'Page Sessions'!D109</f>
        <v>65250</v>
      </c>
      <c r="I109" s="2">
        <f t="shared" si="63"/>
        <v>0.30470593679144881</v>
      </c>
      <c r="J109" s="2">
        <f t="shared" si="75"/>
        <v>-3.9825955488118292E-2</v>
      </c>
      <c r="K109" s="2">
        <f>D109/'Total Traffic'!D107</f>
        <v>0.49839717718687299</v>
      </c>
      <c r="L109" s="5">
        <f t="shared" si="64"/>
        <v>0.58138602255024452</v>
      </c>
      <c r="M109" s="5">
        <f t="shared" si="65"/>
        <v>0.68057729551906188</v>
      </c>
      <c r="N109" s="5">
        <f t="shared" si="66"/>
        <v>0.77008537013214828</v>
      </c>
      <c r="O109" s="5">
        <f t="shared" si="76"/>
        <v>5.2581300069294512E-2</v>
      </c>
      <c r="P109" s="2">
        <f t="shared" ref="P109:R109" si="110">(L109/L102)-1</f>
        <v>3.1050684069080514E-3</v>
      </c>
      <c r="Q109" s="2">
        <f t="shared" si="110"/>
        <v>-1.9305409551687802E-2</v>
      </c>
      <c r="R109" s="2">
        <f t="shared" si="110"/>
        <v>-2.3955187927237942E-2</v>
      </c>
      <c r="S109" s="3"/>
    </row>
    <row r="110" spans="3:19" x14ac:dyDescent="0.25">
      <c r="C110" s="1">
        <f t="shared" si="68"/>
        <v>43572</v>
      </c>
      <c r="D110">
        <v>61770</v>
      </c>
      <c r="E110">
        <v>35628</v>
      </c>
      <c r="F110">
        <v>24512</v>
      </c>
      <c r="G110">
        <v>19156</v>
      </c>
      <c r="H110">
        <f>'Total Traffic'!D108-'Page Sessions'!D110</f>
        <v>68519</v>
      </c>
      <c r="I110" s="2">
        <f t="shared" si="63"/>
        <v>0.3101181803464465</v>
      </c>
      <c r="J110" s="2">
        <f t="shared" si="75"/>
        <v>-9.8070324000523179E-3</v>
      </c>
      <c r="K110" s="2">
        <f>D110/'Total Traffic'!D108</f>
        <v>0.47409988563884903</v>
      </c>
      <c r="L110" s="5">
        <f t="shared" si="64"/>
        <v>0.57678484701311317</v>
      </c>
      <c r="M110" s="5">
        <f t="shared" si="65"/>
        <v>0.68799820366004272</v>
      </c>
      <c r="N110" s="5">
        <f t="shared" si="66"/>
        <v>0.78149477806788514</v>
      </c>
      <c r="O110" s="5">
        <f t="shared" si="76"/>
        <v>-5.244336783663095E-3</v>
      </c>
      <c r="P110" s="2">
        <f t="shared" ref="P110:R110" si="111">(L110/L103)-1</f>
        <v>-1.7527007374196213E-4</v>
      </c>
      <c r="Q110" s="2">
        <f t="shared" si="111"/>
        <v>1.7479528364499064E-3</v>
      </c>
      <c r="R110" s="2">
        <f t="shared" si="111"/>
        <v>-1.1361544175021998E-2</v>
      </c>
      <c r="S110" s="3"/>
    </row>
    <row r="111" spans="3:19" x14ac:dyDescent="0.25">
      <c r="C111" s="1">
        <f t="shared" si="68"/>
        <v>43573</v>
      </c>
      <c r="D111">
        <v>65038</v>
      </c>
      <c r="E111">
        <v>37396</v>
      </c>
      <c r="F111">
        <v>26020</v>
      </c>
      <c r="G111">
        <v>20235</v>
      </c>
      <c r="H111">
        <f>'Total Traffic'!D109-'Page Sessions'!D111</f>
        <v>65692</v>
      </c>
      <c r="I111" s="2">
        <f t="shared" si="63"/>
        <v>0.3111258033764876</v>
      </c>
      <c r="J111" s="2">
        <f t="shared" si="75"/>
        <v>-2.0735113967300989E-2</v>
      </c>
      <c r="K111" s="2">
        <f>D111/'Total Traffic'!D109</f>
        <v>0.49749866136311482</v>
      </c>
      <c r="L111" s="5">
        <f t="shared" si="64"/>
        <v>0.57498693071742668</v>
      </c>
      <c r="M111" s="5">
        <f t="shared" si="65"/>
        <v>0.69579634185474382</v>
      </c>
      <c r="N111" s="5">
        <f t="shared" si="66"/>
        <v>0.77767102229054574</v>
      </c>
      <c r="O111" s="5">
        <f t="shared" si="76"/>
        <v>3.3453197443435112E-2</v>
      </c>
      <c r="P111" s="2">
        <f t="shared" ref="P111:R111" si="112">(L111/L104)-1</f>
        <v>-8.9702258761472642E-3</v>
      </c>
      <c r="Q111" s="2">
        <f t="shared" si="112"/>
        <v>1.1641596257319531E-2</v>
      </c>
      <c r="R111" s="2">
        <f t="shared" si="112"/>
        <v>-2.3242394706616376E-2</v>
      </c>
      <c r="S111" s="3"/>
    </row>
    <row r="112" spans="3:19" x14ac:dyDescent="0.25">
      <c r="C112" s="1">
        <f t="shared" si="68"/>
        <v>43574</v>
      </c>
      <c r="D112">
        <v>63214</v>
      </c>
      <c r="E112">
        <v>37112</v>
      </c>
      <c r="F112">
        <v>25095</v>
      </c>
      <c r="G112">
        <v>19687</v>
      </c>
      <c r="H112">
        <f>'Total Traffic'!D110-'Page Sessions'!D112</f>
        <v>66858</v>
      </c>
      <c r="I112" s="2">
        <f t="shared" si="63"/>
        <v>0.31143417597367673</v>
      </c>
      <c r="J112" s="2">
        <f t="shared" si="75"/>
        <v>2.0171016381941076E-2</v>
      </c>
      <c r="K112" s="2">
        <f>D112/'Total Traffic'!D110</f>
        <v>0.48599237345470203</v>
      </c>
      <c r="L112" s="5">
        <f t="shared" si="64"/>
        <v>0.58708513936786155</v>
      </c>
      <c r="M112" s="5">
        <f t="shared" si="65"/>
        <v>0.67619637852985559</v>
      </c>
      <c r="N112" s="5">
        <f t="shared" si="66"/>
        <v>0.78449890416417611</v>
      </c>
      <c r="O112" s="5">
        <f t="shared" si="76"/>
        <v>-2.7222553141587724E-2</v>
      </c>
      <c r="P112" s="2">
        <f t="shared" ref="P112:R112" si="113">(L112/L105)-1</f>
        <v>2.3881650755420258E-2</v>
      </c>
      <c r="Q112" s="2">
        <f t="shared" si="113"/>
        <v>-1.7005202155112253E-2</v>
      </c>
      <c r="R112" s="2">
        <f t="shared" si="113"/>
        <v>1.3612601967857518E-2</v>
      </c>
      <c r="S112" s="3"/>
    </row>
    <row r="113" spans="3:19" x14ac:dyDescent="0.25">
      <c r="C113" s="1">
        <f t="shared" si="68"/>
        <v>43575</v>
      </c>
      <c r="D113">
        <v>62194</v>
      </c>
      <c r="E113">
        <v>36837</v>
      </c>
      <c r="F113">
        <v>25656</v>
      </c>
      <c r="G113">
        <v>20034</v>
      </c>
      <c r="H113">
        <f>'Total Traffic'!D111-'Page Sessions'!D113</f>
        <v>67975</v>
      </c>
      <c r="I113" s="2">
        <f t="shared" si="63"/>
        <v>0.322121104929736</v>
      </c>
      <c r="J113" s="2">
        <f t="shared" si="75"/>
        <v>4.3283076172038193E-3</v>
      </c>
      <c r="K113" s="2">
        <f>D113/'Total Traffic'!D111</f>
        <v>0.47779425208767062</v>
      </c>
      <c r="L113" s="5">
        <f t="shared" si="64"/>
        <v>0.59229186095121711</v>
      </c>
      <c r="M113" s="5">
        <f t="shared" si="65"/>
        <v>0.69647365420636864</v>
      </c>
      <c r="N113" s="5">
        <f t="shared" si="66"/>
        <v>0.78086997193638918</v>
      </c>
      <c r="O113" s="5">
        <f t="shared" si="76"/>
        <v>-3.7855155101262694E-2</v>
      </c>
      <c r="P113" s="2">
        <f t="shared" ref="P113:R113" si="114">(L113/L106)-1</f>
        <v>-5.3856790154082068E-3</v>
      </c>
      <c r="Q113" s="2">
        <f t="shared" si="114"/>
        <v>9.5413878599976965E-3</v>
      </c>
      <c r="R113" s="2">
        <f t="shared" si="114"/>
        <v>2.230700735808E-4</v>
      </c>
      <c r="S113" s="3"/>
    </row>
    <row r="114" spans="3:19" x14ac:dyDescent="0.25">
      <c r="C114" s="1">
        <f t="shared" si="68"/>
        <v>43576</v>
      </c>
      <c r="D114">
        <v>63123</v>
      </c>
      <c r="E114">
        <v>37078</v>
      </c>
      <c r="F114">
        <v>25732</v>
      </c>
      <c r="G114">
        <v>19950</v>
      </c>
      <c r="H114">
        <f>'Total Traffic'!D112-'Page Sessions'!D114</f>
        <v>67729</v>
      </c>
      <c r="I114" s="2">
        <f t="shared" si="63"/>
        <v>0.31604961741362103</v>
      </c>
      <c r="J114" s="2">
        <f t="shared" si="75"/>
        <v>1.4040769209313186E-2</v>
      </c>
      <c r="K114" s="2">
        <f>D114/'Total Traffic'!D112</f>
        <v>0.48239996331733559</v>
      </c>
      <c r="L114" s="5">
        <f t="shared" si="64"/>
        <v>0.58739286789284417</v>
      </c>
      <c r="M114" s="5">
        <f t="shared" si="65"/>
        <v>0.69399643993742921</v>
      </c>
      <c r="N114" s="5">
        <f t="shared" si="66"/>
        <v>0.77529923830250269</v>
      </c>
      <c r="O114" s="5">
        <f t="shared" si="76"/>
        <v>-2.7994407683804567E-2</v>
      </c>
      <c r="P114" s="2">
        <f t="shared" ref="P114:R114" si="115">(L114/L107)-1</f>
        <v>1.2070477608097541E-2</v>
      </c>
      <c r="Q114" s="2">
        <f t="shared" si="115"/>
        <v>-4.0218979347304007E-3</v>
      </c>
      <c r="R114" s="2">
        <f t="shared" si="115"/>
        <v>5.9927932187340271E-3</v>
      </c>
      <c r="S114" s="3"/>
    </row>
    <row r="115" spans="3:19" x14ac:dyDescent="0.25">
      <c r="C115" s="1">
        <f t="shared" si="68"/>
        <v>43577</v>
      </c>
      <c r="D115">
        <v>61421</v>
      </c>
      <c r="E115">
        <v>36367</v>
      </c>
      <c r="F115">
        <v>24798</v>
      </c>
      <c r="G115">
        <v>19580</v>
      </c>
      <c r="H115">
        <f>'Total Traffic'!D113-'Page Sessions'!D115</f>
        <v>68930</v>
      </c>
      <c r="I115" s="2">
        <f t="shared" si="63"/>
        <v>0.31878347796356293</v>
      </c>
      <c r="J115" s="2">
        <f t="shared" si="75"/>
        <v>5.5357824342824546E-2</v>
      </c>
      <c r="K115" s="2">
        <f>D115/'Total Traffic'!D113</f>
        <v>0.47119699887227562</v>
      </c>
      <c r="L115" s="5">
        <f t="shared" si="64"/>
        <v>0.59209390924927952</v>
      </c>
      <c r="M115" s="5">
        <f t="shared" si="65"/>
        <v>0.68188192592185226</v>
      </c>
      <c r="N115" s="5">
        <f t="shared" si="66"/>
        <v>0.78957980482296963</v>
      </c>
      <c r="O115" s="5">
        <f t="shared" si="76"/>
        <v>-4.1298038301559203E-2</v>
      </c>
      <c r="P115" s="2">
        <f t="shared" ref="P115:R115" si="116">(L115/L108)-1</f>
        <v>3.207795093890331E-2</v>
      </c>
      <c r="Q115" s="2">
        <f t="shared" si="116"/>
        <v>1.1570440815891647E-2</v>
      </c>
      <c r="R115" s="2">
        <f t="shared" si="116"/>
        <v>1.0860214810367141E-2</v>
      </c>
      <c r="S115" s="3"/>
    </row>
    <row r="116" spans="3:19" x14ac:dyDescent="0.25">
      <c r="C116" s="1">
        <f t="shared" si="68"/>
        <v>43578</v>
      </c>
      <c r="D116">
        <v>61842</v>
      </c>
      <c r="E116">
        <v>35305</v>
      </c>
      <c r="F116">
        <v>24526</v>
      </c>
      <c r="G116">
        <v>19588</v>
      </c>
      <c r="H116">
        <f>'Total Traffic'!D114-'Page Sessions'!D116</f>
        <v>68381</v>
      </c>
      <c r="I116" s="2">
        <f t="shared" si="63"/>
        <v>0.31674266679602858</v>
      </c>
      <c r="J116" s="2">
        <f t="shared" si="75"/>
        <v>3.950277481077813E-2</v>
      </c>
      <c r="K116" s="2">
        <f>D116/'Total Traffic'!D114</f>
        <v>0.47489306804481546</v>
      </c>
      <c r="L116" s="5">
        <f t="shared" si="64"/>
        <v>0.57089033343035478</v>
      </c>
      <c r="M116" s="5">
        <f t="shared" si="65"/>
        <v>0.69468913751593264</v>
      </c>
      <c r="N116" s="5">
        <f t="shared" si="66"/>
        <v>0.79866264372502649</v>
      </c>
      <c r="O116" s="5">
        <f t="shared" si="76"/>
        <v>-4.7159394591122838E-2</v>
      </c>
      <c r="P116" s="2">
        <f t="shared" ref="P116:R116" si="117">(L116/L109)-1</f>
        <v>-1.8052874876231972E-2</v>
      </c>
      <c r="Q116" s="2">
        <f t="shared" si="117"/>
        <v>2.0735105460883752E-2</v>
      </c>
      <c r="R116" s="2">
        <f t="shared" si="117"/>
        <v>3.7109228017114804E-2</v>
      </c>
      <c r="S116" s="3"/>
    </row>
    <row r="117" spans="3:19" x14ac:dyDescent="0.25">
      <c r="C117" s="1">
        <f t="shared" si="68"/>
        <v>43579</v>
      </c>
      <c r="D117">
        <v>61620</v>
      </c>
      <c r="E117">
        <v>36941</v>
      </c>
      <c r="F117">
        <v>25105</v>
      </c>
      <c r="G117">
        <v>19745</v>
      </c>
      <c r="H117">
        <f>'Total Traffic'!D115-'Page Sessions'!D117</f>
        <v>69348</v>
      </c>
      <c r="I117" s="2">
        <f t="shared" si="63"/>
        <v>0.32043167802661471</v>
      </c>
      <c r="J117" s="2">
        <f t="shared" si="75"/>
        <v>3.3256669017748486E-2</v>
      </c>
      <c r="K117" s="2">
        <f>D117/'Total Traffic'!D115</f>
        <v>0.47049660985889685</v>
      </c>
      <c r="L117" s="5">
        <f t="shared" si="64"/>
        <v>0.59949691658552418</v>
      </c>
      <c r="M117" s="5">
        <f t="shared" si="65"/>
        <v>0.67959719552800413</v>
      </c>
      <c r="N117" s="5">
        <f t="shared" si="66"/>
        <v>0.78649671380203146</v>
      </c>
      <c r="O117" s="5">
        <f t="shared" si="76"/>
        <v>-7.6002460432926799E-3</v>
      </c>
      <c r="P117" s="2">
        <f t="shared" ref="P117:R117" si="118">(L117/L110)-1</f>
        <v>3.93770219346532E-2</v>
      </c>
      <c r="Q117" s="2">
        <f t="shared" si="118"/>
        <v>-1.2210799515676829E-2</v>
      </c>
      <c r="R117" s="2">
        <f t="shared" si="118"/>
        <v>6.4004723697741461E-3</v>
      </c>
      <c r="S117" s="3"/>
    </row>
    <row r="118" spans="3:19" x14ac:dyDescent="0.25">
      <c r="C118" s="1">
        <f t="shared" si="68"/>
        <v>43580</v>
      </c>
      <c r="D118">
        <v>61648</v>
      </c>
      <c r="E118">
        <v>35706</v>
      </c>
      <c r="F118">
        <v>24105</v>
      </c>
      <c r="G118">
        <v>18580</v>
      </c>
      <c r="H118">
        <f>'Total Traffic'!D116-'Page Sessions'!D118</f>
        <v>69297</v>
      </c>
      <c r="I118" s="2">
        <f t="shared" si="63"/>
        <v>0.30138852841941344</v>
      </c>
      <c r="J118" s="2">
        <f t="shared" si="75"/>
        <v>-3.1296905789878426E-2</v>
      </c>
      <c r="K118" s="2">
        <f>D118/'Total Traffic'!D116</f>
        <v>0.47079308106456907</v>
      </c>
      <c r="L118" s="5">
        <f t="shared" si="64"/>
        <v>0.57919153906047238</v>
      </c>
      <c r="M118" s="5">
        <f t="shared" si="65"/>
        <v>0.67509662241640056</v>
      </c>
      <c r="N118" s="5">
        <f t="shared" si="66"/>
        <v>0.77079444098734706</v>
      </c>
      <c r="O118" s="5">
        <f t="shared" si="76"/>
        <v>-5.3679702826484266E-2</v>
      </c>
      <c r="P118" s="2">
        <f t="shared" ref="P118:R118" si="119">(L118/L111)-1</f>
        <v>7.3125285435609033E-3</v>
      </c>
      <c r="Q118" s="2">
        <f t="shared" si="119"/>
        <v>-2.9749681326528998E-2</v>
      </c>
      <c r="R118" s="2">
        <f t="shared" si="119"/>
        <v>-8.8425325183706383E-3</v>
      </c>
      <c r="S118" s="3"/>
    </row>
    <row r="119" spans="3:19" x14ac:dyDescent="0.25">
      <c r="C119" s="1">
        <f t="shared" si="68"/>
        <v>43581</v>
      </c>
      <c r="D119">
        <v>62239</v>
      </c>
      <c r="E119">
        <v>37256</v>
      </c>
      <c r="F119">
        <v>25106</v>
      </c>
      <c r="G119">
        <v>19974</v>
      </c>
      <c r="H119">
        <f>'Total Traffic'!D117-'Page Sessions'!D119</f>
        <v>68269</v>
      </c>
      <c r="I119" s="2">
        <f t="shared" si="63"/>
        <v>0.32092417937306189</v>
      </c>
      <c r="J119" s="2">
        <f t="shared" si="75"/>
        <v>3.04719395991635E-2</v>
      </c>
      <c r="K119" s="2">
        <f>D119/'Total Traffic'!D117</f>
        <v>0.47689796794066264</v>
      </c>
      <c r="L119" s="5">
        <f t="shared" si="64"/>
        <v>0.59859573579267022</v>
      </c>
      <c r="M119" s="5">
        <f t="shared" si="65"/>
        <v>0.67387803306849903</v>
      </c>
      <c r="N119" s="5">
        <f t="shared" si="66"/>
        <v>0.7955867123396797</v>
      </c>
      <c r="O119" s="5">
        <f t="shared" si="76"/>
        <v>-1.8713062201761166E-2</v>
      </c>
      <c r="P119" s="2">
        <f t="shared" ref="P119:R119" si="120">(L119/L112)-1</f>
        <v>1.9606349493367592E-2</v>
      </c>
      <c r="Q119" s="2">
        <f t="shared" si="120"/>
        <v>-3.4285091357587616E-3</v>
      </c>
      <c r="R119" s="2">
        <f t="shared" si="120"/>
        <v>1.4133618436748208E-2</v>
      </c>
      <c r="S119" s="3"/>
    </row>
    <row r="120" spans="3:19" x14ac:dyDescent="0.25">
      <c r="C120" s="1">
        <f t="shared" si="68"/>
        <v>43582</v>
      </c>
      <c r="D120">
        <v>62096</v>
      </c>
      <c r="E120">
        <v>35941</v>
      </c>
      <c r="F120">
        <v>25072</v>
      </c>
      <c r="G120">
        <v>19626</v>
      </c>
      <c r="H120">
        <f>'Total Traffic'!D118-'Page Sessions'!D120</f>
        <v>68194</v>
      </c>
      <c r="I120" s="2">
        <f t="shared" si="63"/>
        <v>0.31605900541097653</v>
      </c>
      <c r="J120" s="2">
        <f t="shared" si="75"/>
        <v>-1.8819318032830545E-2</v>
      </c>
      <c r="K120" s="2">
        <f>D120/'Total Traffic'!D118</f>
        <v>0.4765983575101696</v>
      </c>
      <c r="L120" s="5">
        <f t="shared" si="64"/>
        <v>0.57879734604483379</v>
      </c>
      <c r="M120" s="5">
        <f t="shared" si="65"/>
        <v>0.69758771319662782</v>
      </c>
      <c r="N120" s="5">
        <f t="shared" si="66"/>
        <v>0.78278557753669431</v>
      </c>
      <c r="O120" s="5">
        <f t="shared" si="76"/>
        <v>-2.5029488577472669E-3</v>
      </c>
      <c r="P120" s="2">
        <f t="shared" ref="P120:R120" si="121">(L120/L113)-1</f>
        <v>-2.2783556209452605E-2</v>
      </c>
      <c r="Q120" s="2">
        <f t="shared" si="121"/>
        <v>1.5995709005369729E-3</v>
      </c>
      <c r="R120" s="2">
        <f t="shared" si="121"/>
        <v>2.4531684776594176E-3</v>
      </c>
      <c r="S120" s="3"/>
    </row>
    <row r="121" spans="3:19" x14ac:dyDescent="0.25">
      <c r="C121" s="1">
        <f t="shared" si="68"/>
        <v>43583</v>
      </c>
      <c r="D121">
        <v>64615</v>
      </c>
      <c r="E121">
        <v>38697</v>
      </c>
      <c r="F121">
        <v>26940</v>
      </c>
      <c r="G121">
        <v>21543</v>
      </c>
      <c r="H121">
        <f>'Total Traffic'!D119-'Page Sessions'!D121</f>
        <v>65738</v>
      </c>
      <c r="I121" s="2">
        <f t="shared" si="63"/>
        <v>0.3334055559854523</v>
      </c>
      <c r="J121" s="2">
        <f t="shared" si="75"/>
        <v>5.4915233607504055E-2</v>
      </c>
      <c r="K121" s="2">
        <f>D121/'Total Traffic'!D119</f>
        <v>0.49569246584275006</v>
      </c>
      <c r="L121" s="5">
        <f t="shared" si="64"/>
        <v>0.59888570765302174</v>
      </c>
      <c r="M121" s="5">
        <f t="shared" si="65"/>
        <v>0.69617799829444138</v>
      </c>
      <c r="N121" s="5">
        <f t="shared" si="66"/>
        <v>0.79966592427616923</v>
      </c>
      <c r="O121" s="5">
        <f t="shared" si="76"/>
        <v>2.7554940995445865E-2</v>
      </c>
      <c r="P121" s="2">
        <f t="shared" ref="P121:R121" si="122">(L121/L114)-1</f>
        <v>1.9565848324658575E-2</v>
      </c>
      <c r="Q121" s="2">
        <f t="shared" si="122"/>
        <v>3.1434719711369574E-3</v>
      </c>
      <c r="R121" s="2">
        <f t="shared" si="122"/>
        <v>3.1428750048841492E-2</v>
      </c>
      <c r="S121" s="3"/>
    </row>
    <row r="122" spans="3:19" x14ac:dyDescent="0.25">
      <c r="C122" s="1">
        <f t="shared" si="68"/>
        <v>43584</v>
      </c>
      <c r="D122">
        <v>61415</v>
      </c>
      <c r="E122">
        <v>35166</v>
      </c>
      <c r="F122">
        <v>24391</v>
      </c>
      <c r="G122">
        <v>18832</v>
      </c>
      <c r="H122">
        <f>'Total Traffic'!D120-'Page Sessions'!D122</f>
        <v>68924</v>
      </c>
      <c r="I122" s="2">
        <f t="shared" si="63"/>
        <v>0.30663518684360497</v>
      </c>
      <c r="J122" s="2">
        <f t="shared" si="75"/>
        <v>-3.8108283395247078E-2</v>
      </c>
      <c r="K122" s="2">
        <f>D122/'Total Traffic'!D120</f>
        <v>0.47119434704884955</v>
      </c>
      <c r="L122" s="5">
        <f t="shared" si="64"/>
        <v>0.57259627126923385</v>
      </c>
      <c r="M122" s="5">
        <f t="shared" si="65"/>
        <v>0.69359608712961385</v>
      </c>
      <c r="N122" s="5">
        <f t="shared" si="66"/>
        <v>0.77208806526997664</v>
      </c>
      <c r="O122" s="5">
        <f t="shared" si="76"/>
        <v>-5.6278444735546884E-6</v>
      </c>
      <c r="P122" s="2">
        <f t="shared" ref="P122:R122" si="123">(L122/L115)-1</f>
        <v>-3.2929975592498328E-2</v>
      </c>
      <c r="Q122" s="2">
        <f t="shared" si="123"/>
        <v>1.7179163668145314E-2</v>
      </c>
      <c r="R122" s="2">
        <f t="shared" si="123"/>
        <v>-2.2153225609556682E-2</v>
      </c>
      <c r="S122" s="3"/>
    </row>
    <row r="123" spans="3:19" x14ac:dyDescent="0.25">
      <c r="C123" s="1">
        <f t="shared" si="68"/>
        <v>43585</v>
      </c>
      <c r="D123">
        <v>62928</v>
      </c>
      <c r="E123">
        <v>36108</v>
      </c>
      <c r="F123">
        <v>25163</v>
      </c>
      <c r="G123">
        <v>19818</v>
      </c>
      <c r="H123">
        <f>'Total Traffic'!D121-'Page Sessions'!D123</f>
        <v>67144</v>
      </c>
      <c r="I123" s="2">
        <f t="shared" si="63"/>
        <v>0.31493135011441648</v>
      </c>
      <c r="J123" s="2">
        <f t="shared" si="75"/>
        <v>-5.7185749552918219E-3</v>
      </c>
      <c r="K123" s="2">
        <f>D123/'Total Traffic'!D121</f>
        <v>0.48379359124177379</v>
      </c>
      <c r="L123" s="5">
        <f t="shared" si="64"/>
        <v>0.57379862700228834</v>
      </c>
      <c r="M123" s="5">
        <f t="shared" si="65"/>
        <v>0.69688157748975299</v>
      </c>
      <c r="N123" s="5">
        <f t="shared" si="66"/>
        <v>0.78758494615109487</v>
      </c>
      <c r="O123" s="5">
        <f t="shared" si="76"/>
        <v>1.8742162806466567E-2</v>
      </c>
      <c r="P123" s="2">
        <f t="shared" ref="P123:R123" si="124">(L123/L116)-1</f>
        <v>5.0943121675546266E-3</v>
      </c>
      <c r="Q123" s="2">
        <f t="shared" si="124"/>
        <v>3.1560015198452973E-3</v>
      </c>
      <c r="R123" s="2">
        <f t="shared" si="124"/>
        <v>-1.3870308898215611E-2</v>
      </c>
      <c r="S123" s="3"/>
    </row>
    <row r="124" spans="3:19" x14ac:dyDescent="0.25">
      <c r="C124" s="1">
        <f t="shared" si="68"/>
        <v>43586</v>
      </c>
      <c r="D124">
        <v>64914</v>
      </c>
      <c r="E124">
        <v>38266</v>
      </c>
      <c r="F124">
        <v>25825</v>
      </c>
      <c r="G124">
        <v>20626</v>
      </c>
      <c r="H124">
        <f>'Total Traffic'!D122-'Page Sessions'!D124</f>
        <v>65253</v>
      </c>
      <c r="I124" s="2">
        <f t="shared" si="63"/>
        <v>0.31774347598360908</v>
      </c>
      <c r="J124" s="2">
        <f t="shared" si="75"/>
        <v>-8.3893142512031504E-3</v>
      </c>
      <c r="K124" s="2">
        <f>D124/'Total Traffic'!D122</f>
        <v>0.49869782663808798</v>
      </c>
      <c r="L124" s="5">
        <f t="shared" si="64"/>
        <v>0.5894876297871029</v>
      </c>
      <c r="M124" s="5">
        <f t="shared" si="65"/>
        <v>0.67488109548946851</v>
      </c>
      <c r="N124" s="5">
        <f t="shared" si="66"/>
        <v>0.79868344627299126</v>
      </c>
      <c r="O124" s="5">
        <f t="shared" si="76"/>
        <v>5.9939256071682934E-2</v>
      </c>
      <c r="P124" s="2">
        <f t="shared" ref="P124:R124" si="125">(L124/L117)-1</f>
        <v>-1.6696143919187834E-2</v>
      </c>
      <c r="Q124" s="2">
        <f t="shared" si="125"/>
        <v>-6.9395519427820629E-3</v>
      </c>
      <c r="R124" s="2">
        <f t="shared" si="125"/>
        <v>1.5494956631220358E-2</v>
      </c>
      <c r="S124" s="3"/>
    </row>
    <row r="125" spans="3:19" x14ac:dyDescent="0.25">
      <c r="C125" s="1">
        <f t="shared" si="68"/>
        <v>43587</v>
      </c>
      <c r="D125">
        <v>63468</v>
      </c>
      <c r="E125">
        <v>37674</v>
      </c>
      <c r="F125">
        <v>25931</v>
      </c>
      <c r="G125">
        <v>20132</v>
      </c>
      <c r="H125">
        <f>'Total Traffic'!D123-'Page Sessions'!D125</f>
        <v>66617</v>
      </c>
      <c r="I125" s="2">
        <f t="shared" si="63"/>
        <v>0.31719921850381294</v>
      </c>
      <c r="J125" s="2">
        <f t="shared" si="75"/>
        <v>5.2459495281111934E-2</v>
      </c>
      <c r="K125" s="2">
        <f>D125/'Total Traffic'!D123</f>
        <v>0.48789637544682324</v>
      </c>
      <c r="L125" s="5">
        <f t="shared" si="64"/>
        <v>0.59359047078842886</v>
      </c>
      <c r="M125" s="5">
        <f t="shared" si="65"/>
        <v>0.6882996230822318</v>
      </c>
      <c r="N125" s="5">
        <f t="shared" si="66"/>
        <v>0.77636805368092243</v>
      </c>
      <c r="O125" s="5">
        <f t="shared" si="76"/>
        <v>3.6328686784393271E-2</v>
      </c>
      <c r="P125" s="2">
        <f t="shared" ref="P125:R125" si="126">(L125/L118)-1</f>
        <v>2.486039722077682E-2</v>
      </c>
      <c r="Q125" s="2">
        <f t="shared" si="126"/>
        <v>1.9557201484097453E-2</v>
      </c>
      <c r="R125" s="2">
        <f t="shared" si="126"/>
        <v>7.2309975230695489E-3</v>
      </c>
      <c r="S125" s="3"/>
    </row>
    <row r="126" spans="3:19" x14ac:dyDescent="0.25">
      <c r="C126" s="1">
        <f t="shared" si="68"/>
        <v>43588</v>
      </c>
      <c r="D126">
        <v>62772</v>
      </c>
      <c r="E126">
        <v>36351</v>
      </c>
      <c r="F126">
        <v>25333</v>
      </c>
      <c r="G126">
        <v>20167</v>
      </c>
      <c r="H126">
        <f>'Total Traffic'!D124-'Page Sessions'!D126</f>
        <v>67624</v>
      </c>
      <c r="I126" s="2">
        <f t="shared" si="63"/>
        <v>0.32127381635123942</v>
      </c>
      <c r="J126" s="2">
        <f t="shared" si="75"/>
        <v>1.0894691040748139E-3</v>
      </c>
      <c r="K126" s="2">
        <f>D126/'Total Traffic'!D124</f>
        <v>0.4813951348200865</v>
      </c>
      <c r="L126" s="5">
        <f t="shared" si="64"/>
        <v>0.57909577518638888</v>
      </c>
      <c r="M126" s="5">
        <f t="shared" si="65"/>
        <v>0.69689967263624109</v>
      </c>
      <c r="N126" s="5">
        <f t="shared" si="66"/>
        <v>0.79607626416137056</v>
      </c>
      <c r="O126" s="5">
        <f t="shared" si="76"/>
        <v>9.4300399283382408E-3</v>
      </c>
      <c r="P126" s="2">
        <f t="shared" ref="P126:R126" si="127">(L126/L119)-1</f>
        <v>-3.2576176942622492E-2</v>
      </c>
      <c r="Q126" s="2">
        <f t="shared" si="127"/>
        <v>3.4162917379741753E-2</v>
      </c>
      <c r="R126" s="2">
        <f t="shared" si="127"/>
        <v>6.1533433640592605E-4</v>
      </c>
      <c r="S126" s="3"/>
    </row>
    <row r="127" spans="3:19" x14ac:dyDescent="0.25">
      <c r="C127" s="1">
        <f t="shared" si="68"/>
        <v>43589</v>
      </c>
      <c r="D127">
        <v>63746</v>
      </c>
      <c r="E127">
        <v>37431</v>
      </c>
      <c r="F127">
        <v>25228</v>
      </c>
      <c r="G127">
        <v>19937</v>
      </c>
      <c r="H127">
        <f>'Total Traffic'!D125-'Page Sessions'!D127</f>
        <v>66401</v>
      </c>
      <c r="I127" s="2">
        <f t="shared" si="63"/>
        <v>0.31275687886298748</v>
      </c>
      <c r="J127" s="2">
        <f t="shared" si="75"/>
        <v>-1.0447816678076483E-2</v>
      </c>
      <c r="K127" s="2">
        <f>D127/'Total Traffic'!D125</f>
        <v>0.48979999538982844</v>
      </c>
      <c r="L127" s="5">
        <f t="shared" si="64"/>
        <v>0.58718978445706393</v>
      </c>
      <c r="M127" s="5">
        <f t="shared" si="65"/>
        <v>0.67398680238305153</v>
      </c>
      <c r="N127" s="5">
        <f t="shared" si="66"/>
        <v>0.79027271285872835</v>
      </c>
      <c r="O127" s="5">
        <f t="shared" si="76"/>
        <v>2.7699713336458931E-2</v>
      </c>
      <c r="P127" s="2">
        <f t="shared" ref="P127:R127" si="128">(L127/L120)-1</f>
        <v>1.4499787308250855E-2</v>
      </c>
      <c r="Q127" s="2">
        <f t="shared" si="128"/>
        <v>-3.3832176752981225E-2</v>
      </c>
      <c r="R127" s="2">
        <f t="shared" si="128"/>
        <v>9.5647333534105705E-3</v>
      </c>
      <c r="S127" s="3"/>
    </row>
    <row r="128" spans="3:19" x14ac:dyDescent="0.25">
      <c r="C128" s="1">
        <f t="shared" si="68"/>
        <v>43590</v>
      </c>
      <c r="D128">
        <v>64487</v>
      </c>
      <c r="E128">
        <v>38518</v>
      </c>
      <c r="F128">
        <v>26704</v>
      </c>
      <c r="G128">
        <v>20992</v>
      </c>
      <c r="H128">
        <f>'Total Traffic'!D126-'Page Sessions'!D128</f>
        <v>66214</v>
      </c>
      <c r="I128" s="2">
        <f t="shared" si="63"/>
        <v>0.32552297362259058</v>
      </c>
      <c r="J128" s="2">
        <f t="shared" si="75"/>
        <v>-2.3642624489454089E-2</v>
      </c>
      <c r="K128" s="2">
        <f>D128/'Total Traffic'!D126</f>
        <v>0.49339331757216853</v>
      </c>
      <c r="L128" s="5">
        <f t="shared" si="64"/>
        <v>0.59729868035417988</v>
      </c>
      <c r="M128" s="5">
        <f t="shared" si="65"/>
        <v>0.69328625577652003</v>
      </c>
      <c r="N128" s="5">
        <f t="shared" si="66"/>
        <v>0.78609946075494308</v>
      </c>
      <c r="O128" s="5">
        <f t="shared" si="76"/>
        <v>-4.6382554285400168E-3</v>
      </c>
      <c r="P128" s="2">
        <f t="shared" ref="P128:R128" si="129">(L128/L121)-1</f>
        <v>-2.6499668944535149E-3</v>
      </c>
      <c r="Q128" s="2">
        <f t="shared" si="129"/>
        <v>-4.1537401713438449E-3</v>
      </c>
      <c r="R128" s="2">
        <f t="shared" si="129"/>
        <v>-1.6965163963321372E-2</v>
      </c>
      <c r="S128" s="3"/>
    </row>
    <row r="129" spans="3:19" x14ac:dyDescent="0.25">
      <c r="C129" s="1">
        <f t="shared" si="68"/>
        <v>43591</v>
      </c>
      <c r="D129">
        <v>61528</v>
      </c>
      <c r="E129">
        <v>36510</v>
      </c>
      <c r="F129">
        <v>25082</v>
      </c>
      <c r="G129">
        <v>19822</v>
      </c>
      <c r="H129">
        <f>'Total Traffic'!D127-'Page Sessions'!D129</f>
        <v>69022</v>
      </c>
      <c r="I129" s="2">
        <f t="shared" si="63"/>
        <v>0.32216226758548955</v>
      </c>
      <c r="J129" s="2">
        <f t="shared" si="75"/>
        <v>5.0636982995053259E-2</v>
      </c>
      <c r="K129" s="2">
        <f>D129/'Total Traffic'!D127</f>
        <v>0.47129835312140944</v>
      </c>
      <c r="L129" s="5">
        <f t="shared" si="64"/>
        <v>0.59338837602392402</v>
      </c>
      <c r="M129" s="5">
        <f t="shared" si="65"/>
        <v>0.6869898657901945</v>
      </c>
      <c r="N129" s="5">
        <f t="shared" si="66"/>
        <v>0.7902878558328682</v>
      </c>
      <c r="O129" s="5">
        <f t="shared" si="76"/>
        <v>2.2072860850586018E-4</v>
      </c>
      <c r="P129" s="2">
        <f t="shared" ref="P129:R129" si="130">(L129/L122)-1</f>
        <v>3.6311980706059677E-2</v>
      </c>
      <c r="Q129" s="2">
        <f t="shared" si="130"/>
        <v>-9.5245943020795254E-3</v>
      </c>
      <c r="R129" s="2">
        <f t="shared" si="130"/>
        <v>2.3572169266115495E-2</v>
      </c>
      <c r="S129" s="3"/>
    </row>
    <row r="130" spans="3:19" x14ac:dyDescent="0.25">
      <c r="C130" s="1">
        <f t="shared" si="68"/>
        <v>43592</v>
      </c>
      <c r="D130">
        <v>61234</v>
      </c>
      <c r="E130">
        <v>35754</v>
      </c>
      <c r="F130">
        <v>24766</v>
      </c>
      <c r="G130">
        <v>19483</v>
      </c>
      <c r="H130">
        <f>'Total Traffic'!D128-'Page Sessions'!D130</f>
        <v>68886</v>
      </c>
      <c r="I130" s="2">
        <f t="shared" si="63"/>
        <v>0.31817291047457297</v>
      </c>
      <c r="J130" s="2">
        <f t="shared" si="75"/>
        <v>1.0292911007363292E-2</v>
      </c>
      <c r="K130" s="2">
        <f>D130/'Total Traffic'!D128</f>
        <v>0.47059637257915771</v>
      </c>
      <c r="L130" s="5">
        <f t="shared" si="64"/>
        <v>0.58389130221772223</v>
      </c>
      <c r="M130" s="5">
        <f t="shared" si="65"/>
        <v>0.69267774235050628</v>
      </c>
      <c r="N130" s="5">
        <f t="shared" si="66"/>
        <v>0.78668335621416463</v>
      </c>
      <c r="O130" s="5">
        <f t="shared" si="76"/>
        <v>-2.7278614065023521E-2</v>
      </c>
      <c r="P130" s="2">
        <f t="shared" ref="P130:R130" si="131">(L130/L123)-1</f>
        <v>1.7589228590805916E-2</v>
      </c>
      <c r="Q130" s="2">
        <f t="shared" si="131"/>
        <v>-6.0323522317656808E-3</v>
      </c>
      <c r="R130" s="2">
        <f t="shared" si="131"/>
        <v>-1.1447526280641274E-3</v>
      </c>
      <c r="S130" s="3"/>
    </row>
    <row r="131" spans="3:19" x14ac:dyDescent="0.25">
      <c r="C131" s="1">
        <f t="shared" si="68"/>
        <v>43593</v>
      </c>
      <c r="D131">
        <v>63179</v>
      </c>
      <c r="E131">
        <v>37054</v>
      </c>
      <c r="F131">
        <v>25504</v>
      </c>
      <c r="G131">
        <v>20130</v>
      </c>
      <c r="H131">
        <f>'Total Traffic'!D129-'Page Sessions'!D131</f>
        <v>67035</v>
      </c>
      <c r="I131" s="2">
        <f t="shared" si="63"/>
        <v>0.31861852830845694</v>
      </c>
      <c r="J131" s="2">
        <f t="shared" si="75"/>
        <v>2.7539584318421184E-3</v>
      </c>
      <c r="K131" s="2">
        <f>D131/'Total Traffic'!D129</f>
        <v>0.48519360437433762</v>
      </c>
      <c r="L131" s="5">
        <f t="shared" si="64"/>
        <v>0.58649234714066378</v>
      </c>
      <c r="M131" s="5">
        <f t="shared" si="65"/>
        <v>0.68829276191504296</v>
      </c>
      <c r="N131" s="5">
        <f t="shared" si="66"/>
        <v>0.78928795483061476</v>
      </c>
      <c r="O131" s="5">
        <f t="shared" si="76"/>
        <v>-2.707896754791872E-2</v>
      </c>
      <c r="P131" s="2">
        <f t="shared" ref="P131:R131" si="132">(L131/L124)-1</f>
        <v>-5.0811628524264352E-3</v>
      </c>
      <c r="Q131" s="2">
        <f t="shared" si="132"/>
        <v>1.9872636106138764E-2</v>
      </c>
      <c r="R131" s="2">
        <f t="shared" si="132"/>
        <v>-1.1763723770938261E-2</v>
      </c>
      <c r="S131" s="3"/>
    </row>
    <row r="132" spans="3:19" x14ac:dyDescent="0.25">
      <c r="C132" s="1">
        <f t="shared" si="68"/>
        <v>43594</v>
      </c>
      <c r="D132">
        <v>65166</v>
      </c>
      <c r="E132">
        <v>38493</v>
      </c>
      <c r="F132">
        <v>26229</v>
      </c>
      <c r="G132">
        <v>20673</v>
      </c>
      <c r="H132">
        <f>'Total Traffic'!D130-'Page Sessions'!D132</f>
        <v>65481</v>
      </c>
      <c r="I132" s="2">
        <f t="shared" si="63"/>
        <v>0.31723598195377956</v>
      </c>
      <c r="J132" s="2">
        <f t="shared" si="75"/>
        <v>1.1590019086438197E-4</v>
      </c>
      <c r="K132" s="2">
        <f>D132/'Total Traffic'!D130</f>
        <v>0.49879446141128386</v>
      </c>
      <c r="L132" s="5">
        <f t="shared" si="64"/>
        <v>0.590691464874321</v>
      </c>
      <c r="M132" s="5">
        <f t="shared" si="65"/>
        <v>0.68139661756683034</v>
      </c>
      <c r="N132" s="5">
        <f t="shared" si="66"/>
        <v>0.78817339585954482</v>
      </c>
      <c r="O132" s="5">
        <f t="shared" si="76"/>
        <v>2.2336886504803477E-2</v>
      </c>
      <c r="P132" s="2">
        <f t="shared" ref="P132:R132" si="133">(L132/L125)-1</f>
        <v>-4.8838484725963749E-3</v>
      </c>
      <c r="Q132" s="2">
        <f t="shared" si="133"/>
        <v>-1.0029070602261214E-2</v>
      </c>
      <c r="R132" s="2">
        <f t="shared" si="133"/>
        <v>1.52058577406049E-2</v>
      </c>
      <c r="S132" s="3"/>
    </row>
    <row r="133" spans="3:19" x14ac:dyDescent="0.25">
      <c r="C133" s="1">
        <f t="shared" si="68"/>
        <v>43595</v>
      </c>
      <c r="D133">
        <v>63923</v>
      </c>
      <c r="E133">
        <v>37056</v>
      </c>
      <c r="F133">
        <v>25327</v>
      </c>
      <c r="G133">
        <v>20000</v>
      </c>
      <c r="H133">
        <f>'Total Traffic'!D131-'Page Sessions'!D133</f>
        <v>67015</v>
      </c>
      <c r="I133" s="2">
        <f t="shared" ref="I133:I196" si="134">G133/D133</f>
        <v>0.31287642945418709</v>
      </c>
      <c r="J133" s="2">
        <f t="shared" si="75"/>
        <v>-2.6137787985410221E-2</v>
      </c>
      <c r="K133" s="2">
        <f>D133/'Total Traffic'!D131</f>
        <v>0.48819288518230003</v>
      </c>
      <c r="L133" s="5">
        <f t="shared" ref="L133:L196" si="135">E133/D133</f>
        <v>0.57969744849271776</v>
      </c>
      <c r="M133" s="5">
        <f t="shared" ref="M133:M196" si="136">F133/E133</f>
        <v>0.68347905872193437</v>
      </c>
      <c r="N133" s="5">
        <f t="shared" ref="N133:N196" si="137">G133/F133</f>
        <v>0.78967110198602286</v>
      </c>
      <c r="O133" s="5">
        <f t="shared" si="76"/>
        <v>1.4120936981953713E-2</v>
      </c>
      <c r="P133" s="2">
        <f t="shared" ref="P133:R133" si="138">(L133/L126)-1</f>
        <v>1.0389875597611731E-3</v>
      </c>
      <c r="Q133" s="2">
        <f t="shared" si="138"/>
        <v>-1.9257598247304442E-2</v>
      </c>
      <c r="R133" s="2">
        <f t="shared" si="138"/>
        <v>-8.045915276842508E-3</v>
      </c>
      <c r="S133" s="3"/>
    </row>
    <row r="134" spans="3:19" x14ac:dyDescent="0.25">
      <c r="C134" s="1">
        <f t="shared" ref="C134:C197" si="139">C133+1</f>
        <v>43596</v>
      </c>
      <c r="D134">
        <v>63250</v>
      </c>
      <c r="E134">
        <v>36596</v>
      </c>
      <c r="F134">
        <v>24856</v>
      </c>
      <c r="G134">
        <v>19417</v>
      </c>
      <c r="H134">
        <f>'Total Traffic'!D132-'Page Sessions'!D134</f>
        <v>67540</v>
      </c>
      <c r="I134" s="2">
        <f t="shared" si="134"/>
        <v>0.30698814229249011</v>
      </c>
      <c r="J134" s="2">
        <f t="shared" si="75"/>
        <v>-1.8444795175950546E-2</v>
      </c>
      <c r="K134" s="2">
        <f>D134/'Total Traffic'!D132</f>
        <v>0.48359966358284273</v>
      </c>
      <c r="L134" s="5">
        <f t="shared" si="135"/>
        <v>0.57859288537549403</v>
      </c>
      <c r="M134" s="5">
        <f t="shared" si="136"/>
        <v>0.67919991255874956</v>
      </c>
      <c r="N134" s="5">
        <f t="shared" si="137"/>
        <v>0.78117959446411334</v>
      </c>
      <c r="O134" s="5">
        <f t="shared" si="76"/>
        <v>-1.2658905400868559E-2</v>
      </c>
      <c r="P134" s="2">
        <f t="shared" ref="P134:R134" si="140">(L134/L127)-1</f>
        <v>-1.4640750416867188E-2</v>
      </c>
      <c r="Q134" s="2">
        <f t="shared" si="140"/>
        <v>7.7347362845470169E-3</v>
      </c>
      <c r="R134" s="2">
        <f t="shared" si="140"/>
        <v>-1.1506304401833201E-2</v>
      </c>
      <c r="S134" s="3"/>
    </row>
    <row r="135" spans="3:19" x14ac:dyDescent="0.25">
      <c r="C135" s="1">
        <f t="shared" si="139"/>
        <v>43597</v>
      </c>
      <c r="D135">
        <v>62013</v>
      </c>
      <c r="E135">
        <v>36072</v>
      </c>
      <c r="F135">
        <v>25055</v>
      </c>
      <c r="G135">
        <v>20018</v>
      </c>
      <c r="H135">
        <f>'Total Traffic'!D133-'Page Sessions'!D135</f>
        <v>68241</v>
      </c>
      <c r="I135" s="2">
        <f t="shared" si="134"/>
        <v>0.32280328318255852</v>
      </c>
      <c r="J135" s="2">
        <f t="shared" si="75"/>
        <v>-8.3548340990066139E-3</v>
      </c>
      <c r="K135" s="2">
        <f>D135/'Total Traffic'!D133</f>
        <v>0.47609286471048873</v>
      </c>
      <c r="L135" s="5">
        <f t="shared" si="135"/>
        <v>0.58168448551110252</v>
      </c>
      <c r="M135" s="5">
        <f t="shared" si="136"/>
        <v>0.69458305611000226</v>
      </c>
      <c r="N135" s="5">
        <f t="shared" si="137"/>
        <v>0.79896228297744964</v>
      </c>
      <c r="O135" s="5">
        <f t="shared" si="76"/>
        <v>-3.5064222083123875E-2</v>
      </c>
      <c r="P135" s="2">
        <f t="shared" ref="P135:R135" si="141">(L135/L128)-1</f>
        <v>-2.6141351649761946E-2</v>
      </c>
      <c r="Q135" s="2">
        <f t="shared" si="141"/>
        <v>1.870512104743538E-3</v>
      </c>
      <c r="R135" s="2">
        <f t="shared" si="141"/>
        <v>1.6362843208356237E-2</v>
      </c>
      <c r="S135" s="3"/>
    </row>
    <row r="136" spans="3:19" x14ac:dyDescent="0.25">
      <c r="C136" s="1">
        <f t="shared" si="139"/>
        <v>43598</v>
      </c>
      <c r="D136">
        <v>64590</v>
      </c>
      <c r="E136">
        <v>37933</v>
      </c>
      <c r="F136">
        <v>26386</v>
      </c>
      <c r="G136">
        <v>20976</v>
      </c>
      <c r="H136">
        <f>'Total Traffic'!D134-'Page Sessions'!D136</f>
        <v>66345</v>
      </c>
      <c r="I136" s="2">
        <f t="shared" si="134"/>
        <v>0.32475615420343706</v>
      </c>
      <c r="J136" s="2">
        <f t="shared" si="75"/>
        <v>8.0514910619047253E-3</v>
      </c>
      <c r="K136" s="2">
        <f>D136/'Total Traffic'!D134</f>
        <v>0.49329820139764002</v>
      </c>
      <c r="L136" s="5">
        <f t="shared" si="135"/>
        <v>0.58728905403313203</v>
      </c>
      <c r="M136" s="5">
        <f t="shared" si="136"/>
        <v>0.69559486462974196</v>
      </c>
      <c r="N136" s="5">
        <f t="shared" si="137"/>
        <v>0.79496702796937768</v>
      </c>
      <c r="O136" s="5">
        <f t="shared" si="76"/>
        <v>4.6679238598067663E-2</v>
      </c>
      <c r="P136" s="2">
        <f t="shared" ref="P136:R136" si="142">(L136/L129)-1</f>
        <v>-1.0278802614337113E-2</v>
      </c>
      <c r="Q136" s="2">
        <f t="shared" si="142"/>
        <v>1.2525656153092868E-2</v>
      </c>
      <c r="R136" s="2">
        <f t="shared" si="142"/>
        <v>5.9208452995627159E-3</v>
      </c>
      <c r="S136" s="3"/>
    </row>
    <row r="137" spans="3:19" x14ac:dyDescent="0.25">
      <c r="C137" s="1">
        <f t="shared" si="139"/>
        <v>43599</v>
      </c>
      <c r="D137">
        <v>63917</v>
      </c>
      <c r="E137">
        <v>37921</v>
      </c>
      <c r="F137">
        <v>26123</v>
      </c>
      <c r="G137">
        <v>20323</v>
      </c>
      <c r="H137">
        <f>'Total Traffic'!D135-'Page Sessions'!D137</f>
        <v>66420</v>
      </c>
      <c r="I137" s="2">
        <f t="shared" si="134"/>
        <v>0.31795922837429791</v>
      </c>
      <c r="J137" s="2">
        <f t="shared" si="75"/>
        <v>-6.7159111678094519E-4</v>
      </c>
      <c r="K137" s="2">
        <f>D137/'Total Traffic'!D135</f>
        <v>0.49039796834360161</v>
      </c>
      <c r="L137" s="5">
        <f t="shared" si="135"/>
        <v>0.59328504153824491</v>
      </c>
      <c r="M137" s="5">
        <f t="shared" si="136"/>
        <v>0.68887951267107939</v>
      </c>
      <c r="N137" s="5">
        <f t="shared" si="137"/>
        <v>0.77797343337288982</v>
      </c>
      <c r="O137" s="5">
        <f t="shared" si="76"/>
        <v>4.207766340381891E-2</v>
      </c>
      <c r="P137" s="2">
        <f t="shared" ref="P137:R137" si="143">(L137/L130)-1</f>
        <v>1.6088164500556168E-2</v>
      </c>
      <c r="Q137" s="2">
        <f t="shared" si="143"/>
        <v>-5.4834007897209824E-3</v>
      </c>
      <c r="R137" s="2">
        <f t="shared" si="143"/>
        <v>-1.1071700923215744E-2</v>
      </c>
      <c r="S137" s="3"/>
    </row>
    <row r="138" spans="3:19" x14ac:dyDescent="0.25">
      <c r="C138" s="1">
        <f t="shared" si="139"/>
        <v>43600</v>
      </c>
      <c r="D138">
        <v>63737</v>
      </c>
      <c r="E138">
        <v>37152</v>
      </c>
      <c r="F138">
        <v>25623</v>
      </c>
      <c r="G138">
        <v>20421</v>
      </c>
      <c r="H138">
        <f>'Total Traffic'!D136-'Page Sessions'!D138</f>
        <v>66792</v>
      </c>
      <c r="I138" s="2">
        <f t="shared" si="134"/>
        <v>0.32039474716412758</v>
      </c>
      <c r="J138" s="2">
        <f t="shared" si="75"/>
        <v>5.5747506747350073E-3</v>
      </c>
      <c r="K138" s="2">
        <f>D138/'Total Traffic'!D136</f>
        <v>0.48829761968604679</v>
      </c>
      <c r="L138" s="5">
        <f t="shared" si="135"/>
        <v>0.58289533551939998</v>
      </c>
      <c r="M138" s="5">
        <f t="shared" si="136"/>
        <v>0.68968023255813948</v>
      </c>
      <c r="N138" s="5">
        <f t="shared" si="137"/>
        <v>0.79697927643133126</v>
      </c>
      <c r="O138" s="5">
        <f t="shared" si="76"/>
        <v>6.3974777979851627E-3</v>
      </c>
      <c r="P138" s="2">
        <f t="shared" ref="P138:R138" si="144">(L138/L131)-1</f>
        <v>-6.133092168722043E-3</v>
      </c>
      <c r="Q138" s="2">
        <f t="shared" si="144"/>
        <v>2.0158146647308861E-3</v>
      </c>
      <c r="R138" s="2">
        <f t="shared" si="144"/>
        <v>9.7446331895019167E-3</v>
      </c>
      <c r="S138" s="3"/>
    </row>
    <row r="139" spans="3:19" x14ac:dyDescent="0.25">
      <c r="C139" s="1">
        <f t="shared" si="139"/>
        <v>43601</v>
      </c>
      <c r="D139">
        <v>64237</v>
      </c>
      <c r="E139">
        <v>37289</v>
      </c>
      <c r="F139">
        <v>25528</v>
      </c>
      <c r="G139">
        <v>20401</v>
      </c>
      <c r="H139">
        <f>'Total Traffic'!D137-'Page Sessions'!D139</f>
        <v>66752</v>
      </c>
      <c r="I139" s="2">
        <f t="shared" si="134"/>
        <v>0.31758955119323756</v>
      </c>
      <c r="J139" s="2">
        <f t="shared" si="75"/>
        <v>1.1145306950379741E-3</v>
      </c>
      <c r="K139" s="2">
        <f>D139/'Total Traffic'!D137</f>
        <v>0.49039995724831859</v>
      </c>
      <c r="L139" s="5">
        <f t="shared" si="135"/>
        <v>0.58049099428678175</v>
      </c>
      <c r="M139" s="5">
        <f t="shared" si="136"/>
        <v>0.68459867521252915</v>
      </c>
      <c r="N139" s="5">
        <f t="shared" si="137"/>
        <v>0.79916170479473514</v>
      </c>
      <c r="O139" s="5">
        <f t="shared" si="76"/>
        <v>-1.6829585756052645E-2</v>
      </c>
      <c r="P139" s="2">
        <f t="shared" ref="P139:R139" si="145">(L139/L132)-1</f>
        <v>-1.7268694731706669E-2</v>
      </c>
      <c r="Q139" s="2">
        <f t="shared" si="145"/>
        <v>4.6992567370423011E-3</v>
      </c>
      <c r="R139" s="2">
        <f t="shared" si="145"/>
        <v>1.3941486724766916E-2</v>
      </c>
      <c r="S139" s="3"/>
    </row>
    <row r="140" spans="3:19" x14ac:dyDescent="0.25">
      <c r="C140" s="1">
        <f t="shared" si="139"/>
        <v>43602</v>
      </c>
      <c r="D140">
        <v>62464</v>
      </c>
      <c r="E140">
        <v>36835</v>
      </c>
      <c r="F140">
        <v>24896</v>
      </c>
      <c r="G140">
        <v>19194</v>
      </c>
      <c r="H140">
        <f>'Total Traffic'!D138-'Page Sessions'!D140</f>
        <v>68434</v>
      </c>
      <c r="I140" s="2">
        <f t="shared" si="134"/>
        <v>0.30728099385245899</v>
      </c>
      <c r="J140" s="2">
        <f t="shared" ref="J140:J203" si="146">(I140/I133)-1</f>
        <v>-1.7883851498463277E-2</v>
      </c>
      <c r="K140" s="2">
        <f>D140/'Total Traffic'!D138</f>
        <v>0.47719598465981145</v>
      </c>
      <c r="L140" s="5">
        <f t="shared" si="135"/>
        <v>0.58969966700819676</v>
      </c>
      <c r="M140" s="5">
        <f t="shared" si="136"/>
        <v>0.67587891950590473</v>
      </c>
      <c r="N140" s="5">
        <f t="shared" si="137"/>
        <v>0.77096722365038561</v>
      </c>
      <c r="O140" s="5">
        <f t="shared" ref="O140:O203" si="147">(K140/K133)-1</f>
        <v>-2.2525728777022525E-2</v>
      </c>
      <c r="P140" s="2">
        <f t="shared" ref="P140:R140" si="148">(L140/L133)-1</f>
        <v>1.7254204829581177E-2</v>
      </c>
      <c r="Q140" s="2">
        <f t="shared" si="148"/>
        <v>-1.1119783582311138E-2</v>
      </c>
      <c r="R140" s="2">
        <f t="shared" si="148"/>
        <v>-2.3685656330334259E-2</v>
      </c>
      <c r="S140" s="3"/>
    </row>
    <row r="141" spans="3:19" x14ac:dyDescent="0.25">
      <c r="C141" s="1">
        <f t="shared" si="139"/>
        <v>43603</v>
      </c>
      <c r="D141">
        <v>62864</v>
      </c>
      <c r="E141">
        <v>35851</v>
      </c>
      <c r="F141">
        <v>24719</v>
      </c>
      <c r="G141">
        <v>19115</v>
      </c>
      <c r="H141">
        <f>'Total Traffic'!D139-'Page Sessions'!D141</f>
        <v>67237</v>
      </c>
      <c r="I141" s="2">
        <f t="shared" si="134"/>
        <v>0.3040691015525579</v>
      </c>
      <c r="J141" s="2">
        <f t="shared" si="146"/>
        <v>-9.5086432919972985E-3</v>
      </c>
      <c r="K141" s="2">
        <f>D141/'Total Traffic'!D139</f>
        <v>0.48319382633492441</v>
      </c>
      <c r="L141" s="5">
        <f t="shared" si="135"/>
        <v>0.57029460422499367</v>
      </c>
      <c r="M141" s="5">
        <f t="shared" si="136"/>
        <v>0.68949262224205743</v>
      </c>
      <c r="N141" s="5">
        <f t="shared" si="137"/>
        <v>0.77329179983009022</v>
      </c>
      <c r="O141" s="5">
        <f t="shared" si="147"/>
        <v>-8.3920084830413355E-4</v>
      </c>
      <c r="P141" s="2">
        <f t="shared" ref="P141:R141" si="149">(L141/L134)-1</f>
        <v>-1.4342176269787621E-2</v>
      </c>
      <c r="Q141" s="2">
        <f t="shared" si="149"/>
        <v>1.5154168151365166E-2</v>
      </c>
      <c r="R141" s="2">
        <f t="shared" si="149"/>
        <v>-1.0097287089832596E-2</v>
      </c>
      <c r="S141" s="3"/>
    </row>
    <row r="142" spans="3:19" x14ac:dyDescent="0.25">
      <c r="C142" s="1">
        <f t="shared" si="139"/>
        <v>43604</v>
      </c>
      <c r="D142">
        <v>62330</v>
      </c>
      <c r="E142">
        <v>36805</v>
      </c>
      <c r="F142">
        <v>25631</v>
      </c>
      <c r="G142">
        <v>20017</v>
      </c>
      <c r="H142">
        <f>'Total Traffic'!D140-'Page Sessions'!D142</f>
        <v>68177</v>
      </c>
      <c r="I142" s="2">
        <f t="shared" si="134"/>
        <v>0.32114551580298412</v>
      </c>
      <c r="J142" s="2">
        <f t="shared" si="146"/>
        <v>-5.135534444477341E-3</v>
      </c>
      <c r="K142" s="2">
        <f>D142/'Total Traffic'!D140</f>
        <v>0.47759890274084915</v>
      </c>
      <c r="L142" s="5">
        <f t="shared" si="135"/>
        <v>0.59048612225252683</v>
      </c>
      <c r="M142" s="5">
        <f t="shared" si="136"/>
        <v>0.6963999456595571</v>
      </c>
      <c r="N142" s="5">
        <f t="shared" si="137"/>
        <v>0.78096835862822367</v>
      </c>
      <c r="O142" s="5">
        <f t="shared" si="147"/>
        <v>3.1633282957859166E-3</v>
      </c>
      <c r="P142" s="2">
        <f t="shared" ref="P142:R142" si="150">(L142/L135)-1</f>
        <v>1.5131290176478851E-2</v>
      </c>
      <c r="Q142" s="2">
        <f t="shared" si="150"/>
        <v>2.6157988358228579E-3</v>
      </c>
      <c r="R142" s="2">
        <f t="shared" si="150"/>
        <v>-2.2521619271148818E-2</v>
      </c>
      <c r="S142" s="3"/>
    </row>
    <row r="143" spans="3:19" x14ac:dyDescent="0.25">
      <c r="C143" s="1">
        <f t="shared" si="139"/>
        <v>43605</v>
      </c>
      <c r="D143">
        <v>61414</v>
      </c>
      <c r="E143">
        <v>35816</v>
      </c>
      <c r="F143">
        <v>24978</v>
      </c>
      <c r="G143">
        <v>19660</v>
      </c>
      <c r="H143">
        <f>'Total Traffic'!D141-'Page Sessions'!D143</f>
        <v>68895</v>
      </c>
      <c r="I143" s="2">
        <f t="shared" si="134"/>
        <v>0.3201224476503729</v>
      </c>
      <c r="J143" s="2">
        <f t="shared" si="146"/>
        <v>-1.4268264028528543E-2</v>
      </c>
      <c r="K143" s="2">
        <f>D143/'Total Traffic'!D141</f>
        <v>0.47129515229186014</v>
      </c>
      <c r="L143" s="5">
        <f t="shared" si="135"/>
        <v>0.58318950076529785</v>
      </c>
      <c r="M143" s="5">
        <f t="shared" si="136"/>
        <v>0.69739781103417464</v>
      </c>
      <c r="N143" s="5">
        <f t="shared" si="137"/>
        <v>0.78709264152454161</v>
      </c>
      <c r="O143" s="5">
        <f t="shared" si="147"/>
        <v>-4.4603951612715464E-2</v>
      </c>
      <c r="P143" s="2">
        <f t="shared" ref="P143:R143" si="151">(L143/L136)-1</f>
        <v>-6.9804693952340013E-3</v>
      </c>
      <c r="Q143" s="2">
        <f t="shared" si="151"/>
        <v>2.5919489865589007E-3</v>
      </c>
      <c r="R143" s="2">
        <f t="shared" si="151"/>
        <v>-9.9052994247447179E-3</v>
      </c>
      <c r="S143" s="3"/>
    </row>
    <row r="144" spans="3:19" x14ac:dyDescent="0.25">
      <c r="C144" s="1">
        <f t="shared" si="139"/>
        <v>43606</v>
      </c>
      <c r="D144">
        <v>61709</v>
      </c>
      <c r="E144">
        <v>36050</v>
      </c>
      <c r="F144">
        <v>24539</v>
      </c>
      <c r="G144">
        <v>19120</v>
      </c>
      <c r="H144">
        <f>'Total Traffic'!D142-'Page Sessions'!D144</f>
        <v>68479</v>
      </c>
      <c r="I144" s="2">
        <f t="shared" si="134"/>
        <v>0.30984135215284642</v>
      </c>
      <c r="J144" s="2">
        <f t="shared" si="146"/>
        <v>-2.5531186067338285E-2</v>
      </c>
      <c r="K144" s="2">
        <f>D144/'Total Traffic'!D142</f>
        <v>0.47399913970565644</v>
      </c>
      <c r="L144" s="5">
        <f t="shared" si="135"/>
        <v>0.58419355361454572</v>
      </c>
      <c r="M144" s="5">
        <f t="shared" si="136"/>
        <v>0.6806934812760056</v>
      </c>
      <c r="N144" s="5">
        <f t="shared" si="137"/>
        <v>0.77916785525082521</v>
      </c>
      <c r="O144" s="5">
        <f t="shared" si="147"/>
        <v>-3.3439838042834569E-2</v>
      </c>
      <c r="P144" s="2">
        <f t="shared" ref="P144:R144" si="152">(L144/L137)-1</f>
        <v>-1.5323979684583211E-2</v>
      </c>
      <c r="Q144" s="2">
        <f t="shared" si="152"/>
        <v>-1.1883110536025421E-2</v>
      </c>
      <c r="R144" s="2">
        <f t="shared" si="152"/>
        <v>1.5352990561090518E-3</v>
      </c>
      <c r="S144" s="3"/>
    </row>
    <row r="145" spans="3:19" x14ac:dyDescent="0.25">
      <c r="C145" s="1">
        <f t="shared" si="139"/>
        <v>43607</v>
      </c>
      <c r="D145">
        <v>64464</v>
      </c>
      <c r="E145">
        <v>38562</v>
      </c>
      <c r="F145">
        <v>26935</v>
      </c>
      <c r="G145">
        <v>21092</v>
      </c>
      <c r="H145">
        <f>'Total Traffic'!D143-'Page Sessions'!D145</f>
        <v>65794</v>
      </c>
      <c r="I145" s="2">
        <f t="shared" si="134"/>
        <v>0.32719036981881361</v>
      </c>
      <c r="J145" s="2">
        <f t="shared" si="146"/>
        <v>2.1210156267652103E-2</v>
      </c>
      <c r="K145" s="2">
        <f>D145/'Total Traffic'!D143</f>
        <v>0.49489474734757172</v>
      </c>
      <c r="L145" s="5">
        <f t="shared" si="135"/>
        <v>0.59819434102755031</v>
      </c>
      <c r="M145" s="5">
        <f t="shared" si="136"/>
        <v>0.69848555572843729</v>
      </c>
      <c r="N145" s="5">
        <f t="shared" si="137"/>
        <v>0.78307035455726748</v>
      </c>
      <c r="O145" s="5">
        <f t="shared" si="147"/>
        <v>1.3510464510899212E-2</v>
      </c>
      <c r="P145" s="2">
        <f t="shared" ref="P145:R145" si="153">(L145/L138)-1</f>
        <v>2.6246573914539661E-2</v>
      </c>
      <c r="Q145" s="2">
        <f t="shared" si="153"/>
        <v>1.276725467052664E-2</v>
      </c>
      <c r="R145" s="2">
        <f t="shared" si="153"/>
        <v>-1.7452049614570142E-2</v>
      </c>
      <c r="S145" s="3"/>
    </row>
    <row r="146" spans="3:19" x14ac:dyDescent="0.25">
      <c r="C146" s="1">
        <f t="shared" si="139"/>
        <v>43608</v>
      </c>
      <c r="D146">
        <v>61902</v>
      </c>
      <c r="E146">
        <v>37135</v>
      </c>
      <c r="F146">
        <v>25348</v>
      </c>
      <c r="G146">
        <v>19642</v>
      </c>
      <c r="H146">
        <f>'Total Traffic'!D144-'Page Sessions'!D146</f>
        <v>68611</v>
      </c>
      <c r="I146" s="2">
        <f t="shared" si="134"/>
        <v>0.31730800297244033</v>
      </c>
      <c r="J146" s="2">
        <f t="shared" si="146"/>
        <v>-8.865160070267164E-4</v>
      </c>
      <c r="K146" s="2">
        <f>D146/'Total Traffic'!D144</f>
        <v>0.47429757955146229</v>
      </c>
      <c r="L146" s="5">
        <f t="shared" si="135"/>
        <v>0.59989984168524446</v>
      </c>
      <c r="M146" s="5">
        <f t="shared" si="136"/>
        <v>0.68259054800053853</v>
      </c>
      <c r="N146" s="5">
        <f t="shared" si="137"/>
        <v>0.77489348272053027</v>
      </c>
      <c r="O146" s="5">
        <f t="shared" si="147"/>
        <v>-3.2835193924584116E-2</v>
      </c>
      <c r="P146" s="2">
        <f t="shared" ref="P146:R146" si="154">(L146/L139)-1</f>
        <v>3.3435225678753788E-2</v>
      </c>
      <c r="Q146" s="2">
        <f t="shared" si="154"/>
        <v>-2.933291115947867E-3</v>
      </c>
      <c r="R146" s="2">
        <f t="shared" si="154"/>
        <v>-3.036709833392004E-2</v>
      </c>
      <c r="S146" s="3"/>
    </row>
    <row r="147" spans="3:19" x14ac:dyDescent="0.25">
      <c r="C147" s="1">
        <f t="shared" si="139"/>
        <v>43609</v>
      </c>
      <c r="D147">
        <v>63592</v>
      </c>
      <c r="E147">
        <v>38040</v>
      </c>
      <c r="F147">
        <v>25855</v>
      </c>
      <c r="G147">
        <v>20461</v>
      </c>
      <c r="H147">
        <f>'Total Traffic'!D145-'Page Sessions'!D147</f>
        <v>67068</v>
      </c>
      <c r="I147" s="2">
        <f t="shared" si="134"/>
        <v>0.32175430871807775</v>
      </c>
      <c r="J147" s="2">
        <f t="shared" si="146"/>
        <v>4.7101236832656657E-2</v>
      </c>
      <c r="K147" s="2">
        <f>D147/'Total Traffic'!D145</f>
        <v>0.48669830093372113</v>
      </c>
      <c r="L147" s="5">
        <f t="shared" si="135"/>
        <v>0.59818845137753174</v>
      </c>
      <c r="M147" s="5">
        <f t="shared" si="136"/>
        <v>0.67967928496319663</v>
      </c>
      <c r="N147" s="5">
        <f t="shared" si="137"/>
        <v>0.791374975826726</v>
      </c>
      <c r="O147" s="5">
        <f t="shared" si="147"/>
        <v>1.9912816912497355E-2</v>
      </c>
      <c r="P147" s="2">
        <f t="shared" ref="P147:R147" si="155">(L147/L140)-1</f>
        <v>1.439509778325343E-2</v>
      </c>
      <c r="Q147" s="2">
        <f t="shared" si="155"/>
        <v>5.6228495187720107E-3</v>
      </c>
      <c r="R147" s="2">
        <f t="shared" si="155"/>
        <v>2.6470323964893794E-2</v>
      </c>
      <c r="S147" s="3"/>
    </row>
    <row r="148" spans="3:19" x14ac:dyDescent="0.25">
      <c r="C148" s="1">
        <f t="shared" si="139"/>
        <v>43610</v>
      </c>
      <c r="D148">
        <v>62632</v>
      </c>
      <c r="E148">
        <v>35769</v>
      </c>
      <c r="F148">
        <v>24623</v>
      </c>
      <c r="G148">
        <v>19240</v>
      </c>
      <c r="H148">
        <f>'Total Traffic'!D146-'Page Sessions'!D148</f>
        <v>67826</v>
      </c>
      <c r="I148" s="2">
        <f t="shared" si="134"/>
        <v>0.30719121215991824</v>
      </c>
      <c r="J148" s="2">
        <f t="shared" si="146"/>
        <v>1.0267766739267659E-2</v>
      </c>
      <c r="K148" s="2">
        <f>D148/'Total Traffic'!D146</f>
        <v>0.48009321007527328</v>
      </c>
      <c r="L148" s="5">
        <f t="shared" si="135"/>
        <v>0.57109784135904973</v>
      </c>
      <c r="M148" s="5">
        <f t="shared" si="136"/>
        <v>0.68838938745841372</v>
      </c>
      <c r="N148" s="5">
        <f t="shared" si="137"/>
        <v>0.7813832595540755</v>
      </c>
      <c r="O148" s="5">
        <f t="shared" si="147"/>
        <v>-6.4169202722841323E-3</v>
      </c>
      <c r="P148" s="2">
        <f t="shared" ref="P148:R148" si="156">(L148/L141)-1</f>
        <v>1.4084599926167396E-3</v>
      </c>
      <c r="Q148" s="2">
        <f t="shared" si="156"/>
        <v>-1.6000675686075327E-3</v>
      </c>
      <c r="R148" s="2">
        <f t="shared" si="156"/>
        <v>1.0463656443483682E-2</v>
      </c>
      <c r="S148" s="3"/>
    </row>
    <row r="149" spans="3:19" x14ac:dyDescent="0.25">
      <c r="C149" s="1">
        <f t="shared" si="139"/>
        <v>43611</v>
      </c>
      <c r="D149">
        <v>64487</v>
      </c>
      <c r="E149">
        <v>37840</v>
      </c>
      <c r="F149">
        <v>25481</v>
      </c>
      <c r="G149">
        <v>20221</v>
      </c>
      <c r="H149">
        <f>'Total Traffic'!D147-'Page Sessions'!D149</f>
        <v>65659</v>
      </c>
      <c r="I149" s="2">
        <f t="shared" si="134"/>
        <v>0.31356707553460389</v>
      </c>
      <c r="J149" s="2">
        <f t="shared" si="146"/>
        <v>-2.3598150668338924E-2</v>
      </c>
      <c r="K149" s="2">
        <f>D149/'Total Traffic'!D147</f>
        <v>0.49549736449833265</v>
      </c>
      <c r="L149" s="5">
        <f t="shared" si="135"/>
        <v>0.58678493339742899</v>
      </c>
      <c r="M149" s="5">
        <f t="shared" si="136"/>
        <v>0.67338794926004231</v>
      </c>
      <c r="N149" s="5">
        <f t="shared" si="137"/>
        <v>0.79357168086024876</v>
      </c>
      <c r="O149" s="5">
        <f t="shared" si="147"/>
        <v>3.7475927299597256E-2</v>
      </c>
      <c r="P149" s="2">
        <f t="shared" ref="P149:R149" si="157">(L149/L142)-1</f>
        <v>-6.2680369878617137E-3</v>
      </c>
      <c r="Q149" s="2">
        <f t="shared" si="157"/>
        <v>-3.3044224863803318E-2</v>
      </c>
      <c r="R149" s="2">
        <f t="shared" si="157"/>
        <v>1.6138070246741965E-2</v>
      </c>
      <c r="S149" s="3"/>
    </row>
    <row r="150" spans="3:19" x14ac:dyDescent="0.25">
      <c r="C150" s="1">
        <f t="shared" si="139"/>
        <v>43612</v>
      </c>
      <c r="D150">
        <v>63716</v>
      </c>
      <c r="E150">
        <v>37522</v>
      </c>
      <c r="F150">
        <v>25334</v>
      </c>
      <c r="G150">
        <v>20107</v>
      </c>
      <c r="H150">
        <f>'Total Traffic'!D148-'Page Sessions'!D150</f>
        <v>66877</v>
      </c>
      <c r="I150" s="2">
        <f t="shared" si="134"/>
        <v>0.31557222675623076</v>
      </c>
      <c r="J150" s="2">
        <f t="shared" si="146"/>
        <v>-1.4214001322118253E-2</v>
      </c>
      <c r="K150" s="2">
        <f>D150/'Total Traffic'!D148</f>
        <v>0.48789751364927675</v>
      </c>
      <c r="L150" s="5">
        <f t="shared" si="135"/>
        <v>0.58889446920710653</v>
      </c>
      <c r="M150" s="5">
        <f t="shared" si="136"/>
        <v>0.67517722935877622</v>
      </c>
      <c r="N150" s="5">
        <f t="shared" si="137"/>
        <v>0.79367648219783693</v>
      </c>
      <c r="O150" s="5">
        <f t="shared" si="147"/>
        <v>3.5227099783821325E-2</v>
      </c>
      <c r="P150" s="2">
        <f t="shared" ref="P150:R150" si="158">(L150/L143)-1</f>
        <v>9.7823579373810254E-3</v>
      </c>
      <c r="Q150" s="2">
        <f t="shared" si="158"/>
        <v>-3.186213280831407E-2</v>
      </c>
      <c r="R150" s="2">
        <f t="shared" si="158"/>
        <v>8.3647595288693921E-3</v>
      </c>
      <c r="S150" s="3"/>
    </row>
    <row r="151" spans="3:19" x14ac:dyDescent="0.25">
      <c r="C151" s="1">
        <f t="shared" si="139"/>
        <v>43613</v>
      </c>
      <c r="D151">
        <v>63633</v>
      </c>
      <c r="E151">
        <v>36646</v>
      </c>
      <c r="F151">
        <v>25051</v>
      </c>
      <c r="G151">
        <v>19331</v>
      </c>
      <c r="H151">
        <f>'Total Traffic'!D149-'Page Sessions'!D151</f>
        <v>67246</v>
      </c>
      <c r="I151" s="2">
        <f t="shared" si="134"/>
        <v>0.30378891455691232</v>
      </c>
      <c r="J151" s="2">
        <f t="shared" si="146"/>
        <v>-1.95339891008105E-2</v>
      </c>
      <c r="K151" s="2">
        <f>D151/'Total Traffic'!D149</f>
        <v>0.48619717448941391</v>
      </c>
      <c r="L151" s="5">
        <f t="shared" si="135"/>
        <v>0.57589615451102416</v>
      </c>
      <c r="M151" s="5">
        <f t="shared" si="136"/>
        <v>0.6835943895650276</v>
      </c>
      <c r="N151" s="5">
        <f t="shared" si="137"/>
        <v>0.77166580176440058</v>
      </c>
      <c r="O151" s="5">
        <f t="shared" si="147"/>
        <v>2.5734297305544107E-2</v>
      </c>
      <c r="P151" s="2">
        <f t="shared" ref="P151:R151" si="159">(L151/L144)-1</f>
        <v>-1.4203167857953169E-2</v>
      </c>
      <c r="Q151" s="2">
        <f t="shared" si="159"/>
        <v>4.2616954162453258E-3</v>
      </c>
      <c r="R151" s="2">
        <f t="shared" si="159"/>
        <v>-9.6282892522685515E-3</v>
      </c>
      <c r="S151" s="3"/>
    </row>
    <row r="152" spans="3:19" x14ac:dyDescent="0.25">
      <c r="C152" s="1">
        <f t="shared" si="139"/>
        <v>43614</v>
      </c>
      <c r="D152">
        <v>62974</v>
      </c>
      <c r="E152">
        <v>36625</v>
      </c>
      <c r="F152">
        <v>25135</v>
      </c>
      <c r="G152">
        <v>19645</v>
      </c>
      <c r="H152">
        <f>'Total Traffic'!D150-'Page Sessions'!D152</f>
        <v>67733</v>
      </c>
      <c r="I152" s="2">
        <f t="shared" si="134"/>
        <v>0.31195413980372855</v>
      </c>
      <c r="J152" s="2">
        <f t="shared" si="146"/>
        <v>-4.6566865716501149E-2</v>
      </c>
      <c r="K152" s="2">
        <f>D152/'Total Traffic'!D150</f>
        <v>0.48179516016739732</v>
      </c>
      <c r="L152" s="5">
        <f t="shared" si="135"/>
        <v>0.58158922730015561</v>
      </c>
      <c r="M152" s="5">
        <f t="shared" si="136"/>
        <v>0.68627986348122871</v>
      </c>
      <c r="N152" s="5">
        <f t="shared" si="137"/>
        <v>0.78157947085737023</v>
      </c>
      <c r="O152" s="5">
        <f t="shared" si="147"/>
        <v>-2.6469440725291005E-2</v>
      </c>
      <c r="P152" s="2">
        <f t="shared" ref="P152:R152" si="160">(L152/L145)-1</f>
        <v>-2.7758727538062633E-2</v>
      </c>
      <c r="Q152" s="2">
        <f t="shared" si="160"/>
        <v>-1.7474509167880403E-2</v>
      </c>
      <c r="R152" s="2">
        <f t="shared" si="160"/>
        <v>-1.9038949581231535E-3</v>
      </c>
      <c r="S152" s="3"/>
    </row>
    <row r="153" spans="3:19" x14ac:dyDescent="0.25">
      <c r="C153" s="1">
        <f t="shared" si="139"/>
        <v>43615</v>
      </c>
      <c r="D153">
        <v>62783</v>
      </c>
      <c r="E153">
        <v>36564</v>
      </c>
      <c r="F153">
        <v>24867</v>
      </c>
      <c r="G153">
        <v>19575</v>
      </c>
      <c r="H153">
        <f>'Total Traffic'!D151-'Page Sessions'!D153</f>
        <v>67365</v>
      </c>
      <c r="I153" s="2">
        <f t="shared" si="134"/>
        <v>0.31178822292658842</v>
      </c>
      <c r="J153" s="2">
        <f t="shared" si="146"/>
        <v>-1.739565341606375E-2</v>
      </c>
      <c r="K153" s="2">
        <f>D153/'Total Traffic'!D151</f>
        <v>0.4823969634569874</v>
      </c>
      <c r="L153" s="5">
        <f t="shared" si="135"/>
        <v>0.58238695188187883</v>
      </c>
      <c r="M153" s="5">
        <f t="shared" si="136"/>
        <v>0.68009517558254018</v>
      </c>
      <c r="N153" s="5">
        <f t="shared" si="137"/>
        <v>0.78718783930510317</v>
      </c>
      <c r="O153" s="5">
        <f t="shared" si="147"/>
        <v>1.7076587051497505E-2</v>
      </c>
      <c r="P153" s="2">
        <f t="shared" ref="P153:R153" si="161">(L153/L146)-1</f>
        <v>-2.9193022878899688E-2</v>
      </c>
      <c r="Q153" s="2">
        <f t="shared" si="161"/>
        <v>-3.655738312386303E-3</v>
      </c>
      <c r="R153" s="2">
        <f t="shared" si="161"/>
        <v>1.5865866546469487E-2</v>
      </c>
      <c r="S153" s="3"/>
    </row>
    <row r="154" spans="3:19" x14ac:dyDescent="0.25">
      <c r="C154" s="1">
        <f t="shared" si="139"/>
        <v>43616</v>
      </c>
      <c r="D154">
        <v>63652</v>
      </c>
      <c r="E154">
        <v>37421</v>
      </c>
      <c r="F154">
        <v>25221</v>
      </c>
      <c r="G154">
        <v>7771</v>
      </c>
      <c r="H154">
        <f>'Total Traffic'!D152-'Page Sessions'!D154</f>
        <v>66650</v>
      </c>
      <c r="I154" s="2">
        <f t="shared" si="134"/>
        <v>0.12208571608119148</v>
      </c>
      <c r="J154" s="2">
        <f t="shared" si="146"/>
        <v>-0.62056229622036418</v>
      </c>
      <c r="K154" s="2">
        <f>D154/'Total Traffic'!D152</f>
        <v>0.48849595554941599</v>
      </c>
      <c r="L154" s="5">
        <f t="shared" si="135"/>
        <v>0.58789983032740523</v>
      </c>
      <c r="M154" s="5">
        <f t="shared" si="136"/>
        <v>0.67397985088586621</v>
      </c>
      <c r="N154" s="5">
        <f t="shared" si="137"/>
        <v>0.30811625232940804</v>
      </c>
      <c r="O154" s="5">
        <f t="shared" si="147"/>
        <v>3.6935707649812244E-3</v>
      </c>
      <c r="P154" s="2">
        <f t="shared" ref="P154:R154" si="162">(L154/L147)-1</f>
        <v>-1.7199631698728846E-2</v>
      </c>
      <c r="Q154" s="2">
        <f t="shared" si="162"/>
        <v>-8.3854756256681595E-3</v>
      </c>
      <c r="R154" s="2">
        <f t="shared" si="162"/>
        <v>-0.61065706935258079</v>
      </c>
      <c r="S154" s="3"/>
    </row>
    <row r="155" spans="3:19" x14ac:dyDescent="0.25">
      <c r="C155" s="1">
        <f t="shared" si="139"/>
        <v>43617</v>
      </c>
      <c r="D155">
        <v>64232</v>
      </c>
      <c r="E155">
        <v>38147</v>
      </c>
      <c r="F155">
        <v>25997</v>
      </c>
      <c r="G155">
        <v>20436</v>
      </c>
      <c r="H155">
        <f>'Total Traffic'!D153-'Page Sessions'!D155</f>
        <v>66162</v>
      </c>
      <c r="I155" s="2">
        <f t="shared" si="134"/>
        <v>0.31815917299788266</v>
      </c>
      <c r="J155" s="2">
        <f t="shared" si="146"/>
        <v>3.5704018877514843E-2</v>
      </c>
      <c r="K155" s="2">
        <f>D155/'Total Traffic'!D153</f>
        <v>0.4925993527309539</v>
      </c>
      <c r="L155" s="5">
        <f t="shared" si="135"/>
        <v>0.59389400921658986</v>
      </c>
      <c r="M155" s="5">
        <f t="shared" si="136"/>
        <v>0.68149526830419171</v>
      </c>
      <c r="N155" s="5">
        <f t="shared" si="137"/>
        <v>0.78609070277339688</v>
      </c>
      <c r="O155" s="5">
        <f t="shared" si="147"/>
        <v>2.6049405393006486E-2</v>
      </c>
      <c r="P155" s="2">
        <f t="shared" ref="P155:R155" si="163">(L155/L148)-1</f>
        <v>3.991639646770806E-2</v>
      </c>
      <c r="Q155" s="2">
        <f t="shared" si="163"/>
        <v>-1.0014853918180799E-2</v>
      </c>
      <c r="R155" s="2">
        <f t="shared" si="163"/>
        <v>6.024499708386255E-3</v>
      </c>
      <c r="S155" s="3"/>
    </row>
    <row r="156" spans="3:19" x14ac:dyDescent="0.25">
      <c r="C156" s="1">
        <f t="shared" si="139"/>
        <v>43618</v>
      </c>
      <c r="D156">
        <v>62248</v>
      </c>
      <c r="E156">
        <v>37106</v>
      </c>
      <c r="F156">
        <v>25588</v>
      </c>
      <c r="G156">
        <v>19973</v>
      </c>
      <c r="H156">
        <f>'Total Traffic'!D154-'Page Sessions'!D156</f>
        <v>67980</v>
      </c>
      <c r="I156" s="2">
        <f t="shared" si="134"/>
        <v>0.3208617144325922</v>
      </c>
      <c r="J156" s="2">
        <f t="shared" si="146"/>
        <v>2.3263408269352359E-2</v>
      </c>
      <c r="K156" s="2">
        <f>D156/'Total Traffic'!D154</f>
        <v>0.47799244402125501</v>
      </c>
      <c r="L156" s="5">
        <f t="shared" si="135"/>
        <v>0.5960994730754402</v>
      </c>
      <c r="M156" s="5">
        <f t="shared" si="136"/>
        <v>0.68959197973373576</v>
      </c>
      <c r="N156" s="5">
        <f t="shared" si="137"/>
        <v>0.78056120056276379</v>
      </c>
      <c r="O156" s="5">
        <f t="shared" si="147"/>
        <v>-3.5327978978859975E-2</v>
      </c>
      <c r="P156" s="2">
        <f t="shared" ref="P156:R156" si="164">(L156/L149)-1</f>
        <v>1.5873856242492268E-2</v>
      </c>
      <c r="Q156" s="2">
        <f t="shared" si="164"/>
        <v>2.4063439940526621E-2</v>
      </c>
      <c r="R156" s="2">
        <f t="shared" si="164"/>
        <v>-1.6394839447120058E-2</v>
      </c>
      <c r="S156" s="3"/>
    </row>
    <row r="157" spans="3:19" x14ac:dyDescent="0.25">
      <c r="C157" s="1">
        <f t="shared" si="139"/>
        <v>43619</v>
      </c>
      <c r="D157">
        <v>62731</v>
      </c>
      <c r="E157">
        <v>35907</v>
      </c>
      <c r="F157">
        <v>24779</v>
      </c>
      <c r="G157">
        <v>19810</v>
      </c>
      <c r="H157">
        <f>'Total Traffic'!D155-'Page Sessions'!D157</f>
        <v>67579</v>
      </c>
      <c r="I157" s="2">
        <f t="shared" si="134"/>
        <v>0.31579282970142353</v>
      </c>
      <c r="J157" s="2">
        <f t="shared" si="146"/>
        <v>6.9905690833560463E-4</v>
      </c>
      <c r="K157" s="2">
        <f>D157/'Total Traffic'!D155</f>
        <v>0.48139820428209656</v>
      </c>
      <c r="L157" s="5">
        <f t="shared" si="135"/>
        <v>0.57239642282125269</v>
      </c>
      <c r="M157" s="5">
        <f t="shared" si="136"/>
        <v>0.69008828362157792</v>
      </c>
      <c r="N157" s="5">
        <f t="shared" si="137"/>
        <v>0.79946729085112389</v>
      </c>
      <c r="O157" s="5">
        <f t="shared" si="147"/>
        <v>-1.3321054494760509E-2</v>
      </c>
      <c r="P157" s="2">
        <f t="shared" ref="P157:R157" si="165">(L157/L150)-1</f>
        <v>-2.8015284993365586E-2</v>
      </c>
      <c r="Q157" s="2">
        <f t="shared" si="165"/>
        <v>2.2084652168976371E-2</v>
      </c>
      <c r="R157" s="2">
        <f t="shared" si="165"/>
        <v>7.2961827434412374E-3</v>
      </c>
      <c r="S157" s="3"/>
    </row>
    <row r="158" spans="3:19" x14ac:dyDescent="0.25">
      <c r="C158" s="1">
        <f t="shared" si="139"/>
        <v>43620</v>
      </c>
      <c r="D158">
        <v>63208</v>
      </c>
      <c r="E158">
        <v>37197</v>
      </c>
      <c r="F158">
        <v>25476</v>
      </c>
      <c r="G158">
        <v>20268</v>
      </c>
      <c r="H158">
        <f>'Total Traffic'!D156-'Page Sessions'!D158</f>
        <v>67659</v>
      </c>
      <c r="I158" s="2">
        <f t="shared" si="134"/>
        <v>0.32065561321351727</v>
      </c>
      <c r="J158" s="2">
        <f t="shared" si="146"/>
        <v>5.5521113011005152E-2</v>
      </c>
      <c r="K158" s="2">
        <f>D158/'Total Traffic'!D156</f>
        <v>0.48299418493585089</v>
      </c>
      <c r="L158" s="5">
        <f t="shared" si="135"/>
        <v>0.58848563472978099</v>
      </c>
      <c r="M158" s="5">
        <f t="shared" si="136"/>
        <v>0.68489394305992424</v>
      </c>
      <c r="N158" s="5">
        <f t="shared" si="137"/>
        <v>0.79557230334432405</v>
      </c>
      <c r="O158" s="5">
        <f t="shared" si="147"/>
        <v>-6.5878407395655314E-3</v>
      </c>
      <c r="P158" s="2">
        <f t="shared" ref="P158:R158" si="166">(L158/L151)-1</f>
        <v>2.1860677693613217E-2</v>
      </c>
      <c r="Q158" s="2">
        <f t="shared" si="166"/>
        <v>1.9010593339181536E-3</v>
      </c>
      <c r="R158" s="2">
        <f t="shared" si="166"/>
        <v>3.0980382343317014E-2</v>
      </c>
      <c r="S158" s="3"/>
    </row>
    <row r="159" spans="3:19" x14ac:dyDescent="0.25">
      <c r="C159" s="1">
        <f t="shared" si="139"/>
        <v>43621</v>
      </c>
      <c r="D159">
        <v>64033</v>
      </c>
      <c r="E159">
        <v>37965</v>
      </c>
      <c r="F159">
        <v>26461</v>
      </c>
      <c r="G159">
        <v>21092</v>
      </c>
      <c r="H159">
        <f>'Total Traffic'!D157-'Page Sessions'!D159</f>
        <v>66781</v>
      </c>
      <c r="I159" s="2">
        <f t="shared" si="134"/>
        <v>0.32939265691128011</v>
      </c>
      <c r="J159" s="2">
        <f t="shared" si="146"/>
        <v>5.5900899787780789E-2</v>
      </c>
      <c r="K159" s="2">
        <f>D159/'Total Traffic'!D157</f>
        <v>0.48949653706789792</v>
      </c>
      <c r="L159" s="5">
        <f t="shared" si="135"/>
        <v>0.59289741227179737</v>
      </c>
      <c r="M159" s="5">
        <f t="shared" si="136"/>
        <v>0.69698406426972215</v>
      </c>
      <c r="N159" s="5">
        <f t="shared" si="137"/>
        <v>0.79709761535845203</v>
      </c>
      <c r="O159" s="5">
        <f t="shared" si="147"/>
        <v>1.5984753557559239E-2</v>
      </c>
      <c r="P159" s="2">
        <f t="shared" ref="P159:R159" si="167">(L159/L152)-1</f>
        <v>1.9443594277246845E-2</v>
      </c>
      <c r="Q159" s="2">
        <f t="shared" si="167"/>
        <v>1.5597428043706785E-2</v>
      </c>
      <c r="R159" s="2">
        <f t="shared" si="167"/>
        <v>1.9854851719760314E-2</v>
      </c>
      <c r="S159" s="3"/>
    </row>
    <row r="160" spans="3:19" x14ac:dyDescent="0.25">
      <c r="C160" s="1">
        <f t="shared" si="139"/>
        <v>43622</v>
      </c>
      <c r="D160">
        <v>64054</v>
      </c>
      <c r="E160">
        <v>37260</v>
      </c>
      <c r="F160">
        <v>25109</v>
      </c>
      <c r="G160">
        <v>19554</v>
      </c>
      <c r="H160">
        <f>'Total Traffic'!D158-'Page Sessions'!D160</f>
        <v>66323</v>
      </c>
      <c r="I160" s="2">
        <f t="shared" si="134"/>
        <v>0.3052736753364349</v>
      </c>
      <c r="J160" s="2">
        <f t="shared" si="146"/>
        <v>-2.0894142597834398E-2</v>
      </c>
      <c r="K160" s="2">
        <f>D160/'Total Traffic'!D158</f>
        <v>0.4912983118188024</v>
      </c>
      <c r="L160" s="5">
        <f t="shared" si="135"/>
        <v>0.58169669341493113</v>
      </c>
      <c r="M160" s="5">
        <f t="shared" si="136"/>
        <v>0.67388620504562535</v>
      </c>
      <c r="N160" s="5">
        <f t="shared" si="137"/>
        <v>0.77876458640328172</v>
      </c>
      <c r="O160" s="5">
        <f t="shared" si="147"/>
        <v>1.8452330831491004E-2</v>
      </c>
      <c r="P160" s="2">
        <f t="shared" ref="P160:R160" si="168">(L160/L153)-1</f>
        <v>-1.1852230973191658E-3</v>
      </c>
      <c r="Q160" s="2">
        <f t="shared" si="168"/>
        <v>-9.1295612141293336E-3</v>
      </c>
      <c r="R160" s="2">
        <f t="shared" si="168"/>
        <v>-1.0700435755279347E-2</v>
      </c>
      <c r="S160" s="3"/>
    </row>
    <row r="161" spans="3:19" x14ac:dyDescent="0.25">
      <c r="C161" s="1">
        <f t="shared" si="139"/>
        <v>43623</v>
      </c>
      <c r="D161">
        <v>64938</v>
      </c>
      <c r="E161">
        <v>37066</v>
      </c>
      <c r="F161">
        <v>25790</v>
      </c>
      <c r="G161">
        <v>20629</v>
      </c>
      <c r="H161">
        <f>'Total Traffic'!D159-'Page Sessions'!D161</f>
        <v>66092</v>
      </c>
      <c r="I161" s="2">
        <f t="shared" si="134"/>
        <v>0.31767224121469712</v>
      </c>
      <c r="J161" s="2">
        <f t="shared" si="146"/>
        <v>1.6020426583191223</v>
      </c>
      <c r="K161" s="2">
        <f>D161/'Total Traffic'!D159</f>
        <v>0.49559642829886286</v>
      </c>
      <c r="L161" s="5">
        <f t="shared" si="135"/>
        <v>0.57079060026486805</v>
      </c>
      <c r="M161" s="5">
        <f t="shared" si="136"/>
        <v>0.69578589542977387</v>
      </c>
      <c r="N161" s="5">
        <f t="shared" si="137"/>
        <v>0.79988367584335018</v>
      </c>
      <c r="O161" s="5">
        <f t="shared" si="147"/>
        <v>1.4535376739119421E-2</v>
      </c>
      <c r="P161" s="2">
        <f t="shared" ref="P161:R161" si="169">(L161/L154)-1</f>
        <v>-2.9102287804725013E-2</v>
      </c>
      <c r="Q161" s="2">
        <f t="shared" si="169"/>
        <v>3.2354149037610247E-2</v>
      </c>
      <c r="R161" s="2">
        <f t="shared" si="169"/>
        <v>1.5960450634982801</v>
      </c>
      <c r="S161" s="3"/>
    </row>
    <row r="162" spans="3:19" x14ac:dyDescent="0.25">
      <c r="C162" s="1">
        <f t="shared" si="139"/>
        <v>43624</v>
      </c>
      <c r="D162">
        <v>63848</v>
      </c>
      <c r="E162">
        <v>36801</v>
      </c>
      <c r="F162">
        <v>24807</v>
      </c>
      <c r="G162">
        <v>19304</v>
      </c>
      <c r="H162">
        <f>'Total Traffic'!D160-'Page Sessions'!D162</f>
        <v>67069</v>
      </c>
      <c r="I162" s="2">
        <f t="shared" si="134"/>
        <v>0.30234306477884976</v>
      </c>
      <c r="J162" s="2">
        <f t="shared" si="146"/>
        <v>-4.9711306670822131E-2</v>
      </c>
      <c r="K162" s="2">
        <f>D162/'Total Traffic'!D160</f>
        <v>0.48769831267138719</v>
      </c>
      <c r="L162" s="5">
        <f t="shared" si="135"/>
        <v>0.57638453827841118</v>
      </c>
      <c r="M162" s="5">
        <f t="shared" si="136"/>
        <v>0.67408494334393088</v>
      </c>
      <c r="N162" s="5">
        <f t="shared" si="137"/>
        <v>0.77816745273511512</v>
      </c>
      <c r="O162" s="5">
        <f t="shared" si="147"/>
        <v>-9.9493432794734993E-3</v>
      </c>
      <c r="P162" s="2">
        <f t="shared" ref="P162:R162" si="170">(L162/L155)-1</f>
        <v>-2.9482484528300823E-2</v>
      </c>
      <c r="Q162" s="2">
        <f t="shared" si="170"/>
        <v>-1.0873626428398286E-2</v>
      </c>
      <c r="R162" s="2">
        <f t="shared" si="170"/>
        <v>-1.007930765537346E-2</v>
      </c>
      <c r="S162" s="3"/>
    </row>
    <row r="163" spans="3:19" x14ac:dyDescent="0.25">
      <c r="C163" s="1">
        <f t="shared" si="139"/>
        <v>43625</v>
      </c>
      <c r="D163">
        <v>64044</v>
      </c>
      <c r="E163">
        <v>38387</v>
      </c>
      <c r="F163">
        <v>25822</v>
      </c>
      <c r="G163">
        <v>20055</v>
      </c>
      <c r="H163">
        <f>'Total Traffic'!D161-'Page Sessions'!D163</f>
        <v>66473</v>
      </c>
      <c r="I163" s="2">
        <f t="shared" si="134"/>
        <v>0.31314408843919805</v>
      </c>
      <c r="J163" s="2">
        <f t="shared" si="146"/>
        <v>-2.405281043592844E-2</v>
      </c>
      <c r="K163" s="2">
        <f>D163/'Total Traffic'!D161</f>
        <v>0.49069469877487226</v>
      </c>
      <c r="L163" s="5">
        <f t="shared" si="135"/>
        <v>0.59938479795140842</v>
      </c>
      <c r="M163" s="5">
        <f t="shared" si="136"/>
        <v>0.67267564540078673</v>
      </c>
      <c r="N163" s="5">
        <f t="shared" si="137"/>
        <v>0.77666331035551084</v>
      </c>
      <c r="O163" s="5">
        <f t="shared" si="147"/>
        <v>2.6574174785600535E-2</v>
      </c>
      <c r="P163" s="2">
        <f t="shared" ref="P163:R163" si="171">(L163/L156)-1</f>
        <v>5.5113702064160108E-3</v>
      </c>
      <c r="Q163" s="2">
        <f t="shared" si="171"/>
        <v>-2.4530932537064509E-2</v>
      </c>
      <c r="R163" s="2">
        <f t="shared" si="171"/>
        <v>-4.9937022291688393E-3</v>
      </c>
      <c r="S163" s="3"/>
    </row>
    <row r="164" spans="3:19" x14ac:dyDescent="0.25">
      <c r="C164" s="1">
        <f t="shared" si="139"/>
        <v>43626</v>
      </c>
      <c r="D164">
        <v>64214</v>
      </c>
      <c r="E164">
        <v>37584</v>
      </c>
      <c r="F164">
        <v>25429</v>
      </c>
      <c r="G164">
        <v>19865</v>
      </c>
      <c r="H164">
        <f>'Total Traffic'!D162-'Page Sessions'!D164</f>
        <v>66091</v>
      </c>
      <c r="I164" s="2">
        <f t="shared" si="134"/>
        <v>0.30935621515557354</v>
      </c>
      <c r="J164" s="2">
        <f t="shared" si="146"/>
        <v>-2.0382396116896295E-2</v>
      </c>
      <c r="K164" s="2">
        <f>D164/'Total Traffic'!D162</f>
        <v>0.49279766701201028</v>
      </c>
      <c r="L164" s="5">
        <f t="shared" si="135"/>
        <v>0.58529292677609246</v>
      </c>
      <c r="M164" s="5">
        <f t="shared" si="136"/>
        <v>0.67659110259684974</v>
      </c>
      <c r="N164" s="5">
        <f t="shared" si="137"/>
        <v>0.78119469896574778</v>
      </c>
      <c r="O164" s="5">
        <f t="shared" si="147"/>
        <v>2.3679902892270954E-2</v>
      </c>
      <c r="P164" s="2">
        <f t="shared" ref="P164:R164" si="172">(L164/L157)-1</f>
        <v>2.2530720739439403E-2</v>
      </c>
      <c r="Q164" s="2">
        <f t="shared" si="172"/>
        <v>-1.9558629446503661E-2</v>
      </c>
      <c r="R164" s="2">
        <f t="shared" si="172"/>
        <v>-2.2855959330021935E-2</v>
      </c>
      <c r="S164" s="3"/>
    </row>
    <row r="165" spans="3:19" x14ac:dyDescent="0.25">
      <c r="C165" s="1">
        <f t="shared" si="139"/>
        <v>43627</v>
      </c>
      <c r="D165">
        <v>61310</v>
      </c>
      <c r="E165">
        <v>35995</v>
      </c>
      <c r="F165">
        <v>24170</v>
      </c>
      <c r="G165">
        <v>18971</v>
      </c>
      <c r="H165">
        <f>'Total Traffic'!D163-'Page Sessions'!D165</f>
        <v>69055</v>
      </c>
      <c r="I165" s="2">
        <f t="shared" si="134"/>
        <v>0.3094274995922362</v>
      </c>
      <c r="J165" s="2">
        <f t="shared" si="146"/>
        <v>-3.5016114356322015E-2</v>
      </c>
      <c r="K165" s="2">
        <f>D165/'Total Traffic'!D163</f>
        <v>0.47029494112683617</v>
      </c>
      <c r="L165" s="5">
        <f t="shared" si="135"/>
        <v>0.58709835263415433</v>
      </c>
      <c r="M165" s="5">
        <f t="shared" si="136"/>
        <v>0.67148215029865255</v>
      </c>
      <c r="N165" s="5">
        <f t="shared" si="137"/>
        <v>0.7848986346710799</v>
      </c>
      <c r="O165" s="5">
        <f t="shared" si="147"/>
        <v>-2.6292746797151101E-2</v>
      </c>
      <c r="P165" s="2">
        <f t="shared" ref="P165:R165" si="173">(L165/L158)-1</f>
        <v>-2.3573763126157887E-3</v>
      </c>
      <c r="Q165" s="2">
        <f t="shared" si="173"/>
        <v>-1.9582291385658035E-2</v>
      </c>
      <c r="R165" s="2">
        <f t="shared" si="173"/>
        <v>-1.3416340197334176E-2</v>
      </c>
      <c r="S165" s="3"/>
    </row>
    <row r="166" spans="3:19" x14ac:dyDescent="0.25">
      <c r="C166" s="1">
        <f t="shared" si="139"/>
        <v>43628</v>
      </c>
      <c r="D166">
        <v>61957</v>
      </c>
      <c r="E166">
        <v>35718</v>
      </c>
      <c r="F166">
        <v>24431</v>
      </c>
      <c r="G166">
        <v>19427</v>
      </c>
      <c r="H166">
        <f>'Total Traffic'!D164-'Page Sessions'!D166</f>
        <v>68756</v>
      </c>
      <c r="I166" s="2">
        <f t="shared" si="134"/>
        <v>0.31355617605758834</v>
      </c>
      <c r="J166" s="2">
        <f t="shared" si="146"/>
        <v>-4.8077819955644086E-2</v>
      </c>
      <c r="K166" s="2">
        <f>D166/'Total Traffic'!D164</f>
        <v>0.47399264036476862</v>
      </c>
      <c r="L166" s="5">
        <f t="shared" si="135"/>
        <v>0.57649660248236678</v>
      </c>
      <c r="M166" s="5">
        <f t="shared" si="136"/>
        <v>0.68399686432611007</v>
      </c>
      <c r="N166" s="5">
        <f t="shared" si="137"/>
        <v>0.79517825713233192</v>
      </c>
      <c r="O166" s="5">
        <f t="shared" si="147"/>
        <v>-3.1673148897024328E-2</v>
      </c>
      <c r="P166" s="2">
        <f t="shared" ref="P166:R166" si="174">(L166/L159)-1</f>
        <v>-2.7662137580577117E-2</v>
      </c>
      <c r="Q166" s="2">
        <f t="shared" si="174"/>
        <v>-1.8633424506225515E-2</v>
      </c>
      <c r="R166" s="2">
        <f t="shared" si="174"/>
        <v>-2.4079337199585105E-3</v>
      </c>
      <c r="S166" s="3"/>
    </row>
    <row r="167" spans="3:19" x14ac:dyDescent="0.25">
      <c r="C167" s="1">
        <f t="shared" si="139"/>
        <v>43629</v>
      </c>
      <c r="D167">
        <v>62823</v>
      </c>
      <c r="E167">
        <v>37266</v>
      </c>
      <c r="F167">
        <v>25899</v>
      </c>
      <c r="G167">
        <v>20154</v>
      </c>
      <c r="H167">
        <f>'Total Traffic'!D165-'Page Sessions'!D167</f>
        <v>67598</v>
      </c>
      <c r="I167" s="2">
        <f t="shared" si="134"/>
        <v>0.3208060742084905</v>
      </c>
      <c r="J167" s="2">
        <f t="shared" si="146"/>
        <v>5.0880243292965588E-2</v>
      </c>
      <c r="K167" s="2">
        <f>D167/'Total Traffic'!D165</f>
        <v>0.48169389898865977</v>
      </c>
      <c r="L167" s="5">
        <f t="shared" si="135"/>
        <v>0.59319039205386559</v>
      </c>
      <c r="M167" s="5">
        <f t="shared" si="136"/>
        <v>0.6949766543229754</v>
      </c>
      <c r="N167" s="5">
        <f t="shared" si="137"/>
        <v>0.77817676358160548</v>
      </c>
      <c r="O167" s="5">
        <f t="shared" si="147"/>
        <v>-1.9549045048794844E-2</v>
      </c>
      <c r="P167" s="2">
        <f t="shared" ref="P167:R167" si="175">(L167/L160)-1</f>
        <v>1.9758920360126275E-2</v>
      </c>
      <c r="Q167" s="2">
        <f t="shared" si="175"/>
        <v>3.1296751765266029E-2</v>
      </c>
      <c r="R167" s="2">
        <f t="shared" si="175"/>
        <v>-7.5481452538961324E-4</v>
      </c>
      <c r="S167" s="3"/>
    </row>
    <row r="168" spans="3:19" x14ac:dyDescent="0.25">
      <c r="C168" s="1">
        <f t="shared" si="139"/>
        <v>43630</v>
      </c>
      <c r="D168">
        <v>23525</v>
      </c>
      <c r="E168">
        <v>13745</v>
      </c>
      <c r="F168">
        <v>9260</v>
      </c>
      <c r="G168">
        <v>7289</v>
      </c>
      <c r="H168">
        <f>'Total Traffic'!D166-'Page Sessions'!D168</f>
        <v>107247</v>
      </c>
      <c r="I168" s="2">
        <f t="shared" si="134"/>
        <v>0.30984059511158341</v>
      </c>
      <c r="J168" s="2">
        <f t="shared" si="146"/>
        <v>-2.4653227720393578E-2</v>
      </c>
      <c r="K168" s="2">
        <f>D168/'Total Traffic'!D166</f>
        <v>0.17989324931942619</v>
      </c>
      <c r="L168" s="5">
        <f t="shared" si="135"/>
        <v>0.58427205100956425</v>
      </c>
      <c r="M168" s="5">
        <f t="shared" si="136"/>
        <v>0.67369952710076386</v>
      </c>
      <c r="N168" s="5">
        <f t="shared" si="137"/>
        <v>0.78714902807775378</v>
      </c>
      <c r="O168" s="5">
        <f t="shared" si="147"/>
        <v>-0.63701665498899851</v>
      </c>
      <c r="P168" s="2">
        <f t="shared" ref="P168:R168" si="176">(L168/L161)-1</f>
        <v>2.3618908122243543E-2</v>
      </c>
      <c r="Q168" s="2">
        <f t="shared" si="176"/>
        <v>-3.174305267479971E-2</v>
      </c>
      <c r="R168" s="2">
        <f t="shared" si="176"/>
        <v>-1.5920624648539938E-2</v>
      </c>
      <c r="S168" s="3"/>
    </row>
    <row r="169" spans="3:19" x14ac:dyDescent="0.25">
      <c r="C169" s="1">
        <f t="shared" si="139"/>
        <v>43631</v>
      </c>
      <c r="D169">
        <v>63833</v>
      </c>
      <c r="E169">
        <v>37240</v>
      </c>
      <c r="F169">
        <v>25602</v>
      </c>
      <c r="G169">
        <v>20310</v>
      </c>
      <c r="H169">
        <f>'Total Traffic'!D167-'Page Sessions'!D169</f>
        <v>66733</v>
      </c>
      <c r="I169" s="2">
        <f t="shared" si="134"/>
        <v>0.31817398524274276</v>
      </c>
      <c r="J169" s="2">
        <f t="shared" si="146"/>
        <v>5.2360785836025769E-2</v>
      </c>
      <c r="K169" s="2">
        <f>D169/'Total Traffic'!D167</f>
        <v>0.48889450546083973</v>
      </c>
      <c r="L169" s="5">
        <f t="shared" si="135"/>
        <v>0.58339730233578246</v>
      </c>
      <c r="M169" s="5">
        <f t="shared" si="136"/>
        <v>0.6874865735767991</v>
      </c>
      <c r="N169" s="5">
        <f t="shared" si="137"/>
        <v>0.79329739864073123</v>
      </c>
      <c r="O169" s="5">
        <f t="shared" si="147"/>
        <v>2.4527310396058599E-3</v>
      </c>
      <c r="P169" s="2">
        <f t="shared" ref="P169:R169" si="177">(L169/L162)-1</f>
        <v>1.2166815019565735E-2</v>
      </c>
      <c r="Q169" s="2">
        <f t="shared" si="177"/>
        <v>1.9881218776949483E-2</v>
      </c>
      <c r="R169" s="2">
        <f t="shared" si="177"/>
        <v>1.9443046419427068E-2</v>
      </c>
      <c r="S169" s="3"/>
    </row>
    <row r="170" spans="3:19" x14ac:dyDescent="0.25">
      <c r="C170" s="1">
        <f t="shared" si="139"/>
        <v>43632</v>
      </c>
      <c r="D170">
        <v>64381</v>
      </c>
      <c r="E170">
        <v>37212</v>
      </c>
      <c r="F170">
        <v>25386</v>
      </c>
      <c r="G170">
        <v>20001</v>
      </c>
      <c r="H170">
        <f>'Total Traffic'!D168-'Page Sessions'!D170</f>
        <v>66663</v>
      </c>
      <c r="I170" s="2">
        <f t="shared" si="134"/>
        <v>0.31066619033565801</v>
      </c>
      <c r="J170" s="2">
        <f t="shared" si="146"/>
        <v>-7.9129646543564247E-3</v>
      </c>
      <c r="K170" s="2">
        <f>D170/'Total Traffic'!D168</f>
        <v>0.49129300082415067</v>
      </c>
      <c r="L170" s="5">
        <f t="shared" si="135"/>
        <v>0.57799661390782997</v>
      </c>
      <c r="M170" s="5">
        <f t="shared" si="136"/>
        <v>0.68219929055143502</v>
      </c>
      <c r="N170" s="5">
        <f t="shared" si="137"/>
        <v>0.78787520680690148</v>
      </c>
      <c r="O170" s="5">
        <f t="shared" si="147"/>
        <v>1.2192959303864992E-3</v>
      </c>
      <c r="P170" s="2">
        <f t="shared" ref="P170:R170" si="178">(L170/L163)-1</f>
        <v>-3.5683561072418768E-2</v>
      </c>
      <c r="Q170" s="2">
        <f t="shared" si="178"/>
        <v>1.4157856339475527E-2</v>
      </c>
      <c r="R170" s="2">
        <f t="shared" si="178"/>
        <v>1.4435980561845474E-2</v>
      </c>
      <c r="S170" s="3"/>
    </row>
    <row r="171" spans="3:19" x14ac:dyDescent="0.25">
      <c r="C171" s="1">
        <f t="shared" si="139"/>
        <v>43633</v>
      </c>
      <c r="D171">
        <v>65019</v>
      </c>
      <c r="E171">
        <v>38205</v>
      </c>
      <c r="F171">
        <v>26422</v>
      </c>
      <c r="G171">
        <v>20529</v>
      </c>
      <c r="H171">
        <f>'Total Traffic'!D169-'Page Sessions'!D171</f>
        <v>65073</v>
      </c>
      <c r="I171" s="2">
        <f t="shared" si="134"/>
        <v>0.31573847644534675</v>
      </c>
      <c r="J171" s="2">
        <f t="shared" si="146"/>
        <v>2.0630784115856837E-2</v>
      </c>
      <c r="K171" s="2">
        <f>D171/'Total Traffic'!D169</f>
        <v>0.49979245457061156</v>
      </c>
      <c r="L171" s="5">
        <f t="shared" si="135"/>
        <v>0.58759747150832831</v>
      </c>
      <c r="M171" s="5">
        <f t="shared" si="136"/>
        <v>0.69158487109017142</v>
      </c>
      <c r="N171" s="5">
        <f t="shared" si="137"/>
        <v>0.77696616455983647</v>
      </c>
      <c r="O171" s="5">
        <f t="shared" si="147"/>
        <v>1.4194035456809084E-2</v>
      </c>
      <c r="P171" s="2">
        <f t="shared" ref="P171:R171" si="179">(L171/L164)-1</f>
        <v>3.9374211216420818E-3</v>
      </c>
      <c r="Q171" s="2">
        <f t="shared" si="179"/>
        <v>2.2160753275905609E-2</v>
      </c>
      <c r="R171" s="2">
        <f t="shared" si="179"/>
        <v>-5.4129071939551521E-3</v>
      </c>
      <c r="S171" s="3"/>
    </row>
    <row r="172" spans="3:19" x14ac:dyDescent="0.25">
      <c r="C172" s="1">
        <f t="shared" si="139"/>
        <v>43634</v>
      </c>
      <c r="D172">
        <v>64166</v>
      </c>
      <c r="E172">
        <v>36741</v>
      </c>
      <c r="F172">
        <v>24700</v>
      </c>
      <c r="G172">
        <v>19750</v>
      </c>
      <c r="H172">
        <f>'Total Traffic'!D170-'Page Sessions'!D172</f>
        <v>66680</v>
      </c>
      <c r="I172" s="2">
        <f t="shared" si="134"/>
        <v>0.30779540566655239</v>
      </c>
      <c r="J172" s="2">
        <f t="shared" si="146"/>
        <v>-5.274560043417531E-3</v>
      </c>
      <c r="K172" s="2">
        <f>D172/'Total Traffic'!D170</f>
        <v>0.49039328676459348</v>
      </c>
      <c r="L172" s="5">
        <f t="shared" si="135"/>
        <v>0.57259296200480003</v>
      </c>
      <c r="M172" s="5">
        <f t="shared" si="136"/>
        <v>0.67227348194115566</v>
      </c>
      <c r="N172" s="5">
        <f t="shared" si="137"/>
        <v>0.79959514170040491</v>
      </c>
      <c r="O172" s="5">
        <f t="shared" si="147"/>
        <v>4.2735619459569829E-2</v>
      </c>
      <c r="P172" s="2">
        <f t="shared" ref="P172:R172" si="180">(L172/L165)-1</f>
        <v>-2.4706917613160462E-2</v>
      </c>
      <c r="Q172" s="2">
        <f t="shared" si="180"/>
        <v>1.1784850009060044E-3</v>
      </c>
      <c r="R172" s="2">
        <f t="shared" si="180"/>
        <v>1.8724082805270381E-2</v>
      </c>
      <c r="S172" s="3"/>
    </row>
    <row r="173" spans="3:19" x14ac:dyDescent="0.25">
      <c r="C173" s="1">
        <f t="shared" si="139"/>
        <v>43635</v>
      </c>
      <c r="D173">
        <v>62123</v>
      </c>
      <c r="E173">
        <v>35577</v>
      </c>
      <c r="F173">
        <v>34037</v>
      </c>
      <c r="G173">
        <v>26627</v>
      </c>
      <c r="H173">
        <f>'Total Traffic'!D171-'Page Sessions'!D173</f>
        <v>68885</v>
      </c>
      <c r="I173" s="2">
        <f t="shared" si="134"/>
        <v>0.4286174202791237</v>
      </c>
      <c r="J173" s="2">
        <f t="shared" si="146"/>
        <v>0.36695575787479617</v>
      </c>
      <c r="K173" s="2">
        <f>D173/'Total Traffic'!D171</f>
        <v>0.4741924157303371</v>
      </c>
      <c r="L173" s="5">
        <f t="shared" si="135"/>
        <v>0.57268644463403251</v>
      </c>
      <c r="M173" s="5">
        <f t="shared" si="136"/>
        <v>0.9567136071057144</v>
      </c>
      <c r="N173" s="5">
        <f t="shared" si="137"/>
        <v>0.78229573699209687</v>
      </c>
      <c r="O173" s="5">
        <f t="shared" si="147"/>
        <v>4.214735600425179E-4</v>
      </c>
      <c r="P173" s="2">
        <f t="shared" ref="P173:R173" si="181">(L173/L166)-1</f>
        <v>-6.6091592420977063E-3</v>
      </c>
      <c r="Q173" s="2">
        <f t="shared" si="181"/>
        <v>0.39871051609029129</v>
      </c>
      <c r="R173" s="2">
        <f t="shared" si="181"/>
        <v>-1.6200795261547496E-2</v>
      </c>
      <c r="S173" s="3"/>
    </row>
    <row r="174" spans="3:19" x14ac:dyDescent="0.25">
      <c r="C174" s="1">
        <f t="shared" si="139"/>
        <v>43636</v>
      </c>
      <c r="D174">
        <v>64282</v>
      </c>
      <c r="E174">
        <v>37103</v>
      </c>
      <c r="F174">
        <v>25003</v>
      </c>
      <c r="G174">
        <v>19334</v>
      </c>
      <c r="H174">
        <f>'Total Traffic'!D172-'Page Sessions'!D174</f>
        <v>66400</v>
      </c>
      <c r="I174" s="2">
        <f t="shared" si="134"/>
        <v>0.3007684888460222</v>
      </c>
      <c r="J174" s="2">
        <f t="shared" si="146"/>
        <v>-6.2460118350022187E-2</v>
      </c>
      <c r="K174" s="2">
        <f>D174/'Total Traffic'!D172</f>
        <v>0.49189635910071777</v>
      </c>
      <c r="L174" s="5">
        <f t="shared" si="135"/>
        <v>0.57719112659842564</v>
      </c>
      <c r="M174" s="5">
        <f t="shared" si="136"/>
        <v>0.67388081826267421</v>
      </c>
      <c r="N174" s="5">
        <f t="shared" si="137"/>
        <v>0.77326720793504777</v>
      </c>
      <c r="O174" s="5">
        <f t="shared" si="147"/>
        <v>2.1180380597467741E-2</v>
      </c>
      <c r="P174" s="2">
        <f t="shared" ref="P174:R174" si="182">(L174/L167)-1</f>
        <v>-2.6971551916146197E-2</v>
      </c>
      <c r="Q174" s="2">
        <f t="shared" si="182"/>
        <v>-3.0354740593195984E-2</v>
      </c>
      <c r="R174" s="2">
        <f t="shared" si="182"/>
        <v>-6.3090494040983769E-3</v>
      </c>
      <c r="S174" s="3"/>
    </row>
    <row r="175" spans="3:19" x14ac:dyDescent="0.25">
      <c r="C175" s="1">
        <f t="shared" si="139"/>
        <v>43637</v>
      </c>
      <c r="D175">
        <v>61786</v>
      </c>
      <c r="E175">
        <v>37065</v>
      </c>
      <c r="F175">
        <v>24970</v>
      </c>
      <c r="G175">
        <v>19306</v>
      </c>
      <c r="H175">
        <f>'Total Traffic'!D173-'Page Sessions'!D175</f>
        <v>68897</v>
      </c>
      <c r="I175" s="2">
        <f t="shared" si="134"/>
        <v>0.31246560709545851</v>
      </c>
      <c r="J175" s="2">
        <f t="shared" si="146"/>
        <v>8.4721370449529765E-3</v>
      </c>
      <c r="K175" s="2">
        <f>D175/'Total Traffic'!D173</f>
        <v>0.47279294169861419</v>
      </c>
      <c r="L175" s="5">
        <f t="shared" si="135"/>
        <v>0.59989317968471823</v>
      </c>
      <c r="M175" s="5">
        <f t="shared" si="136"/>
        <v>0.67368137056522326</v>
      </c>
      <c r="N175" s="5">
        <f t="shared" si="137"/>
        <v>0.77316780136163399</v>
      </c>
      <c r="O175" s="5">
        <f t="shared" si="147"/>
        <v>1.6281861242002624</v>
      </c>
      <c r="P175" s="2">
        <f t="shared" ref="P175:R175" si="183">(L175/L168)-1</f>
        <v>2.6736053261767756E-2</v>
      </c>
      <c r="Q175" s="2">
        <f t="shared" si="183"/>
        <v>-2.6950494709021555E-5</v>
      </c>
      <c r="R175" s="2">
        <f t="shared" si="183"/>
        <v>-1.7761854766260021E-2</v>
      </c>
      <c r="S175" s="3"/>
    </row>
    <row r="176" spans="3:19" x14ac:dyDescent="0.25">
      <c r="C176" s="1">
        <f t="shared" si="139"/>
        <v>43638</v>
      </c>
      <c r="D176">
        <v>63327</v>
      </c>
      <c r="E176">
        <v>36558</v>
      </c>
      <c r="F176">
        <v>25561</v>
      </c>
      <c r="G176">
        <v>20446</v>
      </c>
      <c r="H176">
        <f>'Total Traffic'!D174-'Page Sessions'!D176</f>
        <v>67352</v>
      </c>
      <c r="I176" s="2">
        <f t="shared" si="134"/>
        <v>0.32286386533390182</v>
      </c>
      <c r="J176" s="2">
        <f t="shared" si="146"/>
        <v>1.4739986009795869E-2</v>
      </c>
      <c r="K176" s="2">
        <f>D176/'Total Traffic'!D174</f>
        <v>0.48459966788849013</v>
      </c>
      <c r="L176" s="5">
        <f t="shared" si="135"/>
        <v>0.57728930787815624</v>
      </c>
      <c r="M176" s="5">
        <f t="shared" si="136"/>
        <v>0.6991903276984518</v>
      </c>
      <c r="N176" s="5">
        <f t="shared" si="137"/>
        <v>0.79989045811979187</v>
      </c>
      <c r="O176" s="5">
        <f t="shared" si="147"/>
        <v>-8.7847941107483951E-3</v>
      </c>
      <c r="P176" s="2">
        <f t="shared" ref="P176:R176" si="184">(L176/L169)-1</f>
        <v>-1.0469699522385967E-2</v>
      </c>
      <c r="Q176" s="2">
        <f t="shared" si="184"/>
        <v>1.7023974825808308E-2</v>
      </c>
      <c r="R176" s="2">
        <f t="shared" si="184"/>
        <v>8.3109556269280738E-3</v>
      </c>
      <c r="S176" s="3"/>
    </row>
    <row r="177" spans="3:19" x14ac:dyDescent="0.25">
      <c r="C177" s="1">
        <f t="shared" si="139"/>
        <v>43639</v>
      </c>
      <c r="D177">
        <v>64048</v>
      </c>
      <c r="E177">
        <v>37263</v>
      </c>
      <c r="F177">
        <v>25573</v>
      </c>
      <c r="G177">
        <v>20420</v>
      </c>
      <c r="H177">
        <f>'Total Traffic'!D175-'Page Sessions'!D177</f>
        <v>66424</v>
      </c>
      <c r="I177" s="2">
        <f t="shared" si="134"/>
        <v>0.31882338246315262</v>
      </c>
      <c r="J177" s="2">
        <f t="shared" si="146"/>
        <v>2.6257096463188301E-2</v>
      </c>
      <c r="K177" s="2">
        <f>D177/'Total Traffic'!D175</f>
        <v>0.49089459807468266</v>
      </c>
      <c r="L177" s="5">
        <f t="shared" si="135"/>
        <v>0.5817980264801399</v>
      </c>
      <c r="M177" s="5">
        <f t="shared" si="136"/>
        <v>0.68628398142929981</v>
      </c>
      <c r="N177" s="5">
        <f t="shared" si="137"/>
        <v>0.79849841629843976</v>
      </c>
      <c r="O177" s="5">
        <f t="shared" si="147"/>
        <v>-8.1092698002960262E-4</v>
      </c>
      <c r="P177" s="2">
        <f t="shared" ref="P177:R177" si="185">(L177/L170)-1</f>
        <v>6.5768768896561358E-3</v>
      </c>
      <c r="Q177" s="2">
        <f t="shared" si="185"/>
        <v>5.9875331658041375E-3</v>
      </c>
      <c r="R177" s="2">
        <f t="shared" si="185"/>
        <v>1.3483365639327616E-2</v>
      </c>
      <c r="S177" s="3"/>
    </row>
    <row r="178" spans="3:19" x14ac:dyDescent="0.25">
      <c r="C178" s="1">
        <f t="shared" si="139"/>
        <v>43640</v>
      </c>
      <c r="D178">
        <v>64335</v>
      </c>
      <c r="E178">
        <v>36973</v>
      </c>
      <c r="F178">
        <v>25862</v>
      </c>
      <c r="G178">
        <v>20050</v>
      </c>
      <c r="H178">
        <f>'Total Traffic'!D176-'Page Sessions'!D178</f>
        <v>66136</v>
      </c>
      <c r="I178" s="2">
        <f t="shared" si="134"/>
        <v>0.31164995725499339</v>
      </c>
      <c r="J178" s="2">
        <f t="shared" si="146"/>
        <v>-1.2949068597476021E-2</v>
      </c>
      <c r="K178" s="2">
        <f>D178/'Total Traffic'!D176</f>
        <v>0.49309808309892622</v>
      </c>
      <c r="L178" s="5">
        <f t="shared" si="135"/>
        <v>0.5746949560892205</v>
      </c>
      <c r="M178" s="5">
        <f t="shared" si="136"/>
        <v>0.69948340681037513</v>
      </c>
      <c r="N178" s="5">
        <f t="shared" si="137"/>
        <v>0.77526873404995744</v>
      </c>
      <c r="O178" s="5">
        <f t="shared" si="147"/>
        <v>-1.339430279602094E-2</v>
      </c>
      <c r="P178" s="2">
        <f t="shared" ref="P178:R178" si="186">(L178/L171)-1</f>
        <v>-2.1958085330060717E-2</v>
      </c>
      <c r="Q178" s="2">
        <f t="shared" si="186"/>
        <v>1.142092033874742E-2</v>
      </c>
      <c r="R178" s="2">
        <f t="shared" si="186"/>
        <v>-2.1846903858943056E-3</v>
      </c>
      <c r="S178" s="3"/>
    </row>
    <row r="179" spans="3:19" x14ac:dyDescent="0.25">
      <c r="C179" s="1">
        <f t="shared" si="139"/>
        <v>43641</v>
      </c>
      <c r="D179">
        <v>63188</v>
      </c>
      <c r="E179">
        <v>37438</v>
      </c>
      <c r="F179">
        <v>25094</v>
      </c>
      <c r="G179">
        <v>19603</v>
      </c>
      <c r="H179">
        <f>'Total Traffic'!D177-'Page Sessions'!D179</f>
        <v>67421</v>
      </c>
      <c r="I179" s="2">
        <f t="shared" si="134"/>
        <v>0.31023295562448566</v>
      </c>
      <c r="J179" s="2">
        <f t="shared" si="146"/>
        <v>7.9193838278859285E-3</v>
      </c>
      <c r="K179" s="2">
        <f>D179/'Total Traffic'!D177</f>
        <v>0.48379514428561582</v>
      </c>
      <c r="L179" s="5">
        <f t="shared" si="135"/>
        <v>0.59248591504716086</v>
      </c>
      <c r="M179" s="5">
        <f t="shared" si="136"/>
        <v>0.6702815321331268</v>
      </c>
      <c r="N179" s="5">
        <f t="shared" si="137"/>
        <v>0.78118275284928673</v>
      </c>
      <c r="O179" s="5">
        <f t="shared" si="147"/>
        <v>-1.3454797724718914E-2</v>
      </c>
      <c r="P179" s="2">
        <f t="shared" ref="P179:R179" si="187">(L179/L172)-1</f>
        <v>3.4741874878640333E-2</v>
      </c>
      <c r="Q179" s="2">
        <f t="shared" si="187"/>
        <v>-2.9630051780076272E-3</v>
      </c>
      <c r="R179" s="2">
        <f t="shared" si="187"/>
        <v>-2.302713947456303E-2</v>
      </c>
      <c r="S179" s="3"/>
    </row>
    <row r="180" spans="3:19" x14ac:dyDescent="0.25">
      <c r="C180" s="1">
        <f t="shared" si="139"/>
        <v>43642</v>
      </c>
      <c r="D180">
        <v>61387</v>
      </c>
      <c r="E180">
        <v>35696</v>
      </c>
      <c r="F180">
        <v>24383</v>
      </c>
      <c r="G180">
        <v>18891</v>
      </c>
      <c r="H180">
        <f>'Total Traffic'!D178-'Page Sessions'!D180</f>
        <v>69114</v>
      </c>
      <c r="I180" s="2">
        <f t="shared" si="134"/>
        <v>0.30773616563767575</v>
      </c>
      <c r="J180" s="2">
        <f t="shared" si="146"/>
        <v>-0.28202599549670149</v>
      </c>
      <c r="K180" s="2">
        <f>D180/'Total Traffic'!D178</f>
        <v>0.47039486287461396</v>
      </c>
      <c r="L180" s="5">
        <f t="shared" si="135"/>
        <v>0.58149119520419634</v>
      </c>
      <c r="M180" s="5">
        <f t="shared" si="136"/>
        <v>0.6830737337516809</v>
      </c>
      <c r="N180" s="5">
        <f t="shared" si="137"/>
        <v>0.77476110404790222</v>
      </c>
      <c r="O180" s="5">
        <f t="shared" si="147"/>
        <v>-8.0084639267674618E-3</v>
      </c>
      <c r="P180" s="2">
        <f t="shared" ref="P180:R180" si="188">(L180/L173)-1</f>
        <v>1.5374470013499897E-2</v>
      </c>
      <c r="Q180" s="2">
        <f t="shared" si="188"/>
        <v>-0.28602067674343945</v>
      </c>
      <c r="R180" s="2">
        <f t="shared" si="188"/>
        <v>-9.6314380711891578E-3</v>
      </c>
      <c r="S180" s="3"/>
    </row>
    <row r="181" spans="3:19" x14ac:dyDescent="0.25">
      <c r="C181" s="1">
        <f t="shared" si="139"/>
        <v>43643</v>
      </c>
      <c r="D181">
        <v>62695</v>
      </c>
      <c r="E181">
        <v>37334</v>
      </c>
      <c r="F181">
        <v>25256</v>
      </c>
      <c r="G181">
        <v>19740</v>
      </c>
      <c r="H181">
        <f>'Total Traffic'!D179-'Page Sessions'!D181</f>
        <v>67703</v>
      </c>
      <c r="I181" s="2">
        <f t="shared" si="134"/>
        <v>0.31485764415025119</v>
      </c>
      <c r="J181" s="2">
        <f t="shared" si="146"/>
        <v>4.6843854415353769E-2</v>
      </c>
      <c r="K181" s="2">
        <f>D181/'Total Traffic'!D179</f>
        <v>0.48079725149158731</v>
      </c>
      <c r="L181" s="5">
        <f t="shared" si="135"/>
        <v>0.59548608341973042</v>
      </c>
      <c r="M181" s="5">
        <f t="shared" si="136"/>
        <v>0.67648791985857393</v>
      </c>
      <c r="N181" s="5">
        <f t="shared" si="137"/>
        <v>0.78159645232815966</v>
      </c>
      <c r="O181" s="5">
        <f t="shared" si="147"/>
        <v>-2.2563914946274077E-2</v>
      </c>
      <c r="P181" s="2">
        <f t="shared" ref="P181:R181" si="189">(L181/L174)-1</f>
        <v>3.1696531665555749E-2</v>
      </c>
      <c r="Q181" s="2">
        <f t="shared" si="189"/>
        <v>3.8687873660228078E-3</v>
      </c>
      <c r="R181" s="2">
        <f t="shared" si="189"/>
        <v>1.0771495684337218E-2</v>
      </c>
      <c r="S181" s="3"/>
    </row>
    <row r="182" spans="3:19" x14ac:dyDescent="0.25">
      <c r="C182" s="1">
        <f t="shared" si="139"/>
        <v>43644</v>
      </c>
      <c r="D182">
        <v>86163</v>
      </c>
      <c r="E182">
        <v>49259</v>
      </c>
      <c r="F182">
        <v>33259</v>
      </c>
      <c r="G182">
        <v>26025</v>
      </c>
      <c r="H182">
        <f>'Total Traffic'!D180-'Page Sessions'!D182</f>
        <v>43955</v>
      </c>
      <c r="I182" s="2">
        <f t="shared" si="134"/>
        <v>0.30204380070331815</v>
      </c>
      <c r="J182" s="2">
        <f t="shared" si="146"/>
        <v>-3.3353451245456522E-2</v>
      </c>
      <c r="K182" s="2">
        <f>D182/'Total Traffic'!D180</f>
        <v>0.66219124179590838</v>
      </c>
      <c r="L182" s="5">
        <f t="shared" si="135"/>
        <v>0.57169550735234387</v>
      </c>
      <c r="M182" s="5">
        <f t="shared" si="136"/>
        <v>0.67518626037881402</v>
      </c>
      <c r="N182" s="5">
        <f t="shared" si="137"/>
        <v>0.78249496376920535</v>
      </c>
      <c r="O182" s="5">
        <f t="shared" si="147"/>
        <v>0.40059460155398785</v>
      </c>
      <c r="P182" s="2">
        <f t="shared" ref="P182:R182" si="190">(L182/L175)-1</f>
        <v>-4.7004488944505152E-2</v>
      </c>
      <c r="Q182" s="2">
        <f t="shared" si="190"/>
        <v>2.2338302339104388E-3</v>
      </c>
      <c r="R182" s="2">
        <f t="shared" si="190"/>
        <v>1.206356807816511E-2</v>
      </c>
      <c r="S182" s="3"/>
    </row>
    <row r="183" spans="3:19" x14ac:dyDescent="0.25">
      <c r="C183" s="1">
        <f t="shared" si="139"/>
        <v>43645</v>
      </c>
      <c r="D183">
        <v>62221</v>
      </c>
      <c r="E183">
        <v>36162</v>
      </c>
      <c r="F183">
        <v>25298</v>
      </c>
      <c r="G183">
        <v>26234</v>
      </c>
      <c r="H183">
        <f>'Total Traffic'!D181-'Page Sessions'!D183</f>
        <v>67896</v>
      </c>
      <c r="I183" s="2">
        <f t="shared" si="134"/>
        <v>0.4216261390848749</v>
      </c>
      <c r="J183" s="2">
        <f t="shared" si="146"/>
        <v>0.30589447861820762</v>
      </c>
      <c r="K183" s="2">
        <f>D183/'Total Traffic'!D181</f>
        <v>0.47819270348993598</v>
      </c>
      <c r="L183" s="5">
        <f t="shared" si="135"/>
        <v>0.58118641616174604</v>
      </c>
      <c r="M183" s="5">
        <f t="shared" si="136"/>
        <v>0.69957413859852879</v>
      </c>
      <c r="N183" s="5">
        <f t="shared" si="137"/>
        <v>1.0369989722507709</v>
      </c>
      <c r="O183" s="5">
        <f t="shared" si="147"/>
        <v>-1.3221148967086038E-2</v>
      </c>
      <c r="P183" s="2">
        <f t="shared" ref="P183:R183" si="191">(L183/L176)-1</f>
        <v>6.7507023435333657E-3</v>
      </c>
      <c r="Q183" s="2">
        <f t="shared" si="191"/>
        <v>5.4893622647833595E-4</v>
      </c>
      <c r="R183" s="2">
        <f t="shared" si="191"/>
        <v>0.29642623152215375</v>
      </c>
      <c r="S183" s="3"/>
    </row>
    <row r="184" spans="3:19" x14ac:dyDescent="0.25">
      <c r="C184" s="1">
        <f t="shared" si="139"/>
        <v>43646</v>
      </c>
      <c r="D184">
        <v>33252</v>
      </c>
      <c r="E184">
        <v>19113</v>
      </c>
      <c r="F184">
        <v>12813</v>
      </c>
      <c r="G184">
        <v>10083</v>
      </c>
      <c r="H184">
        <f>'Total Traffic'!D182-'Page Sessions'!D184</f>
        <v>33965</v>
      </c>
      <c r="I184" s="2">
        <f t="shared" si="134"/>
        <v>0.30322988090941899</v>
      </c>
      <c r="J184" s="2">
        <f t="shared" si="146"/>
        <v>-4.890952926119152E-2</v>
      </c>
      <c r="K184" s="2">
        <f>D184/'Total Traffic'!D182</f>
        <v>0.49469628219051726</v>
      </c>
      <c r="L184" s="5">
        <f t="shared" si="135"/>
        <v>0.5747924936845904</v>
      </c>
      <c r="M184" s="5">
        <f t="shared" si="136"/>
        <v>0.67038141579029975</v>
      </c>
      <c r="N184" s="5">
        <f t="shared" si="137"/>
        <v>0.78693514399438069</v>
      </c>
      <c r="O184" s="5">
        <f t="shared" si="147"/>
        <v>7.7443999806579011E-3</v>
      </c>
      <c r="P184" s="2">
        <f t="shared" ref="P184:R184" si="192">(L184/L177)-1</f>
        <v>-1.2041176622637817E-2</v>
      </c>
      <c r="Q184" s="2">
        <f t="shared" si="192"/>
        <v>-2.3171990122631603E-2</v>
      </c>
      <c r="R184" s="2">
        <f t="shared" si="192"/>
        <v>-1.4481271431523113E-2</v>
      </c>
      <c r="S184" s="3"/>
    </row>
    <row r="185" spans="3:19" x14ac:dyDescent="0.25">
      <c r="C185" s="1">
        <f t="shared" si="139"/>
        <v>43647</v>
      </c>
      <c r="D185">
        <v>63678</v>
      </c>
      <c r="E185">
        <v>36856</v>
      </c>
      <c r="F185">
        <v>25010</v>
      </c>
      <c r="G185">
        <v>19342</v>
      </c>
      <c r="H185">
        <f>'Total Traffic'!D183-'Page Sessions'!D185</f>
        <v>66598</v>
      </c>
      <c r="I185" s="2">
        <f t="shared" si="134"/>
        <v>0.30374697697792014</v>
      </c>
      <c r="J185" s="2">
        <f t="shared" si="146"/>
        <v>-2.5358515517481695E-2</v>
      </c>
      <c r="K185" s="2">
        <f>D185/'Total Traffic'!D183</f>
        <v>0.48879302404126623</v>
      </c>
      <c r="L185" s="5">
        <f t="shared" si="135"/>
        <v>0.57878702220547129</v>
      </c>
      <c r="M185" s="5">
        <f t="shared" si="136"/>
        <v>0.67858693292815286</v>
      </c>
      <c r="N185" s="5">
        <f t="shared" si="137"/>
        <v>0.7733706517393043</v>
      </c>
      <c r="O185" s="5">
        <f t="shared" si="147"/>
        <v>-8.7306343407469456E-3</v>
      </c>
      <c r="P185" s="2">
        <f t="shared" ref="P185:R185" si="193">(L185/L178)-1</f>
        <v>7.1204141830252254E-3</v>
      </c>
      <c r="Q185" s="2">
        <f t="shared" si="193"/>
        <v>-2.9874152379839258E-2</v>
      </c>
      <c r="R185" s="2">
        <f t="shared" si="193"/>
        <v>-2.448289512125279E-3</v>
      </c>
      <c r="S185" s="3"/>
    </row>
    <row r="186" spans="3:19" x14ac:dyDescent="0.25">
      <c r="C186" s="1">
        <f t="shared" si="139"/>
        <v>43648</v>
      </c>
      <c r="D186">
        <v>63771</v>
      </c>
      <c r="E186">
        <v>37962</v>
      </c>
      <c r="F186">
        <v>25821</v>
      </c>
      <c r="G186">
        <v>20439</v>
      </c>
      <c r="H186">
        <f>'Total Traffic'!D184-'Page Sessions'!D186</f>
        <v>66401</v>
      </c>
      <c r="I186" s="2">
        <f t="shared" si="134"/>
        <v>0.32050618619748789</v>
      </c>
      <c r="J186" s="2">
        <f t="shared" si="146"/>
        <v>3.3114568864299532E-2</v>
      </c>
      <c r="K186" s="2">
        <f>D186/'Total Traffic'!D184</f>
        <v>0.48989798113265526</v>
      </c>
      <c r="L186" s="5">
        <f t="shared" si="135"/>
        <v>0.59528625864421136</v>
      </c>
      <c r="M186" s="5">
        <f t="shared" si="136"/>
        <v>0.68018018018018023</v>
      </c>
      <c r="N186" s="5">
        <f t="shared" si="137"/>
        <v>0.79156500522830253</v>
      </c>
      <c r="O186" s="5">
        <f t="shared" si="147"/>
        <v>1.2614506199831732E-2</v>
      </c>
      <c r="P186" s="2">
        <f t="shared" ref="P186:R186" si="194">(L186/L179)-1</f>
        <v>4.7264306643097775E-3</v>
      </c>
      <c r="Q186" s="2">
        <f t="shared" si="194"/>
        <v>1.4767896133959679E-2</v>
      </c>
      <c r="R186" s="2">
        <f t="shared" si="194"/>
        <v>1.3290427036628083E-2</v>
      </c>
      <c r="S186" s="3"/>
    </row>
    <row r="187" spans="3:19" x14ac:dyDescent="0.25">
      <c r="C187" s="1">
        <f t="shared" si="139"/>
        <v>43649</v>
      </c>
      <c r="D187">
        <v>63951</v>
      </c>
      <c r="E187">
        <v>37225</v>
      </c>
      <c r="F187">
        <v>26035</v>
      </c>
      <c r="G187">
        <v>20666</v>
      </c>
      <c r="H187">
        <f>'Total Traffic'!D185-'Page Sessions'!D187</f>
        <v>66429</v>
      </c>
      <c r="I187" s="2">
        <f t="shared" si="134"/>
        <v>0.32315366452440147</v>
      </c>
      <c r="J187" s="2">
        <f t="shared" si="146"/>
        <v>5.0099730250353636E-2</v>
      </c>
      <c r="K187" s="2">
        <f>D187/'Total Traffic'!D185</f>
        <v>0.49049700874367236</v>
      </c>
      <c r="L187" s="5">
        <f t="shared" si="135"/>
        <v>0.58208628481180902</v>
      </c>
      <c r="M187" s="5">
        <f t="shared" si="136"/>
        <v>0.69939556749496301</v>
      </c>
      <c r="N187" s="5">
        <f t="shared" si="137"/>
        <v>0.7937776070674093</v>
      </c>
      <c r="O187" s="5">
        <f t="shared" si="147"/>
        <v>4.2734620327723905E-2</v>
      </c>
      <c r="P187" s="2">
        <f t="shared" ref="P187:R187" si="195">(L187/L180)-1</f>
        <v>1.0233854141226129E-3</v>
      </c>
      <c r="Q187" s="2">
        <f t="shared" si="195"/>
        <v>2.3894687991641739E-2</v>
      </c>
      <c r="R187" s="2">
        <f t="shared" si="195"/>
        <v>2.4544989313675325E-2</v>
      </c>
      <c r="S187" s="3"/>
    </row>
    <row r="188" spans="3:19" x14ac:dyDescent="0.25">
      <c r="C188" s="1">
        <f t="shared" si="139"/>
        <v>43650</v>
      </c>
      <c r="D188">
        <v>61196</v>
      </c>
      <c r="E188">
        <v>36319</v>
      </c>
      <c r="F188">
        <v>25176</v>
      </c>
      <c r="G188">
        <v>19403</v>
      </c>
      <c r="H188">
        <f>'Total Traffic'!D186-'Page Sessions'!D188</f>
        <v>68843</v>
      </c>
      <c r="I188" s="2">
        <f t="shared" si="134"/>
        <v>0.31706320674553895</v>
      </c>
      <c r="J188" s="2">
        <f t="shared" si="146"/>
        <v>7.0049517179111565E-3</v>
      </c>
      <c r="K188" s="2">
        <f>D188/'Total Traffic'!D186</f>
        <v>0.47059728235375542</v>
      </c>
      <c r="L188" s="5">
        <f t="shared" si="135"/>
        <v>0.59348650238577683</v>
      </c>
      <c r="M188" s="5">
        <f t="shared" si="136"/>
        <v>0.69319089181970872</v>
      </c>
      <c r="N188" s="5">
        <f t="shared" si="137"/>
        <v>0.77069431204321581</v>
      </c>
      <c r="O188" s="5">
        <f t="shared" si="147"/>
        <v>-2.1214699348193644E-2</v>
      </c>
      <c r="P188" s="2">
        <f t="shared" ref="P188:R188" si="196">(L188/L181)-1</f>
        <v>-3.3578971694359083E-3</v>
      </c>
      <c r="Q188" s="2">
        <f t="shared" si="196"/>
        <v>2.4690717263106121E-2</v>
      </c>
      <c r="R188" s="2">
        <f t="shared" si="196"/>
        <v>-1.3948553953218923E-2</v>
      </c>
      <c r="S188" s="3"/>
    </row>
    <row r="189" spans="3:19" x14ac:dyDescent="0.25">
      <c r="C189" s="1">
        <f t="shared" si="139"/>
        <v>43651</v>
      </c>
      <c r="D189">
        <v>65425</v>
      </c>
      <c r="E189">
        <v>38672</v>
      </c>
      <c r="F189">
        <v>26490</v>
      </c>
      <c r="G189">
        <v>20455</v>
      </c>
      <c r="H189">
        <f>'Total Traffic'!D187-'Page Sessions'!D189</f>
        <v>65530</v>
      </c>
      <c r="I189" s="2">
        <f t="shared" si="134"/>
        <v>0.31264807030951469</v>
      </c>
      <c r="J189" s="2">
        <f t="shared" si="146"/>
        <v>3.5108383557299172E-2</v>
      </c>
      <c r="K189" s="2">
        <f>D189/'Total Traffic'!D187</f>
        <v>0.49959909892711235</v>
      </c>
      <c r="L189" s="5">
        <f t="shared" si="135"/>
        <v>0.59108903324417272</v>
      </c>
      <c r="M189" s="5">
        <f t="shared" si="136"/>
        <v>0.68499172527927188</v>
      </c>
      <c r="N189" s="5">
        <f t="shared" si="137"/>
        <v>0.77217818044545117</v>
      </c>
      <c r="O189" s="5">
        <f t="shared" si="147"/>
        <v>-0.24553653477481052</v>
      </c>
      <c r="P189" s="2">
        <f t="shared" ref="P189:R189" si="197">(L189/L182)-1</f>
        <v>3.3922823675219815E-2</v>
      </c>
      <c r="Q189" s="2">
        <f t="shared" si="197"/>
        <v>1.4522607280184507E-2</v>
      </c>
      <c r="R189" s="2">
        <f t="shared" si="197"/>
        <v>-1.3184472490479937E-2</v>
      </c>
      <c r="S189" s="3"/>
    </row>
    <row r="190" spans="3:19" x14ac:dyDescent="0.25">
      <c r="C190" s="1">
        <f t="shared" si="139"/>
        <v>43652</v>
      </c>
      <c r="D190">
        <v>62996</v>
      </c>
      <c r="E190">
        <v>35939</v>
      </c>
      <c r="F190">
        <v>8752</v>
      </c>
      <c r="G190">
        <v>6946</v>
      </c>
      <c r="H190">
        <f>'Total Traffic'!D188-'Page Sessions'!D190</f>
        <v>67973</v>
      </c>
      <c r="I190" s="2">
        <f t="shared" si="134"/>
        <v>0.11026096895040954</v>
      </c>
      <c r="J190" s="2">
        <f t="shared" si="146"/>
        <v>-0.73848640127073906</v>
      </c>
      <c r="K190" s="2">
        <f>D190/'Total Traffic'!D188</f>
        <v>0.48099932044987748</v>
      </c>
      <c r="L190" s="5">
        <f t="shared" si="135"/>
        <v>0.57049653946282308</v>
      </c>
      <c r="M190" s="5">
        <f t="shared" si="136"/>
        <v>0.24352374857397258</v>
      </c>
      <c r="N190" s="5">
        <f t="shared" si="137"/>
        <v>0.79364716636197441</v>
      </c>
      <c r="O190" s="5">
        <f t="shared" si="147"/>
        <v>5.8692174503256478E-3</v>
      </c>
      <c r="P190" s="2">
        <f t="shared" ref="P190:R190" si="198">(L190/L183)-1</f>
        <v>-1.8393197778985848E-2</v>
      </c>
      <c r="Q190" s="2">
        <f t="shared" si="198"/>
        <v>-0.65189715408601479</v>
      </c>
      <c r="R190" s="2">
        <f t="shared" si="198"/>
        <v>-0.23466928357760053</v>
      </c>
      <c r="S190" s="3"/>
    </row>
    <row r="191" spans="3:19" x14ac:dyDescent="0.25">
      <c r="C191" s="1">
        <f t="shared" si="139"/>
        <v>43653</v>
      </c>
      <c r="D191">
        <v>64706</v>
      </c>
      <c r="E191">
        <v>37451</v>
      </c>
      <c r="F191">
        <v>25485</v>
      </c>
      <c r="G191">
        <v>19755</v>
      </c>
      <c r="H191">
        <f>'Total Traffic'!D189-'Page Sessions'!D191</f>
        <v>66252</v>
      </c>
      <c r="I191" s="2">
        <f t="shared" si="134"/>
        <v>0.30530399035638117</v>
      </c>
      <c r="J191" s="2">
        <f t="shared" si="146"/>
        <v>6.8400562660306807E-3</v>
      </c>
      <c r="K191" s="2">
        <f>D191/'Total Traffic'!D189</f>
        <v>0.49409734418668583</v>
      </c>
      <c r="L191" s="5">
        <f t="shared" si="135"/>
        <v>0.57878712947794642</v>
      </c>
      <c r="M191" s="5">
        <f t="shared" si="136"/>
        <v>0.68048917251875785</v>
      </c>
      <c r="N191" s="5">
        <f t="shared" si="137"/>
        <v>0.77516185991759856</v>
      </c>
      <c r="O191" s="5">
        <f t="shared" si="147"/>
        <v>-1.2107186275573945E-3</v>
      </c>
      <c r="P191" s="2">
        <f t="shared" ref="P191:R191" si="199">(L191/L184)-1</f>
        <v>6.9497006958967322E-3</v>
      </c>
      <c r="Q191" s="2">
        <f t="shared" si="199"/>
        <v>1.5077620725124419E-2</v>
      </c>
      <c r="R191" s="2">
        <f t="shared" si="199"/>
        <v>-1.4960933142498245E-2</v>
      </c>
      <c r="S191" s="3"/>
    </row>
    <row r="192" spans="3:19" x14ac:dyDescent="0.25">
      <c r="C192" s="1">
        <f t="shared" si="139"/>
        <v>43654</v>
      </c>
      <c r="D192">
        <v>61231</v>
      </c>
      <c r="E192">
        <v>35532</v>
      </c>
      <c r="F192">
        <v>24197</v>
      </c>
      <c r="G192">
        <v>18946</v>
      </c>
      <c r="H192">
        <f>'Total Traffic'!D190-'Page Sessions'!D192</f>
        <v>68828</v>
      </c>
      <c r="I192" s="2">
        <f t="shared" si="134"/>
        <v>0.309418431840081</v>
      </c>
      <c r="J192" s="2">
        <f t="shared" si="146"/>
        <v>1.8671642162789714E-2</v>
      </c>
      <c r="K192" s="2">
        <f>D192/'Total Traffic'!D190</f>
        <v>0.47079402425053246</v>
      </c>
      <c r="L192" s="5">
        <f t="shared" si="135"/>
        <v>0.58029429537325861</v>
      </c>
      <c r="M192" s="5">
        <f t="shared" si="136"/>
        <v>0.68099178205561184</v>
      </c>
      <c r="N192" s="5">
        <f t="shared" si="137"/>
        <v>0.78298962681324136</v>
      </c>
      <c r="O192" s="5">
        <f t="shared" si="147"/>
        <v>-3.6823356524037121E-2</v>
      </c>
      <c r="P192" s="2">
        <f t="shared" ref="P192:R192" si="200">(L192/L185)-1</f>
        <v>2.6041930968732085E-3</v>
      </c>
      <c r="Q192" s="2">
        <f t="shared" si="200"/>
        <v>3.5439072147791517E-3</v>
      </c>
      <c r="R192" s="2">
        <f t="shared" si="200"/>
        <v>1.2437729634948047E-2</v>
      </c>
      <c r="S192" s="3"/>
    </row>
    <row r="193" spans="3:19" x14ac:dyDescent="0.25">
      <c r="C193" s="1">
        <f t="shared" si="139"/>
        <v>43655</v>
      </c>
      <c r="D193">
        <v>64561</v>
      </c>
      <c r="E193">
        <v>38336</v>
      </c>
      <c r="F193">
        <v>25761</v>
      </c>
      <c r="G193">
        <v>20281</v>
      </c>
      <c r="H193">
        <f>'Total Traffic'!D191-'Page Sessions'!D193</f>
        <v>66421</v>
      </c>
      <c r="I193" s="2">
        <f t="shared" si="134"/>
        <v>0.31413701770418673</v>
      </c>
      <c r="J193" s="2">
        <f t="shared" si="146"/>
        <v>-1.9872217035388662E-2</v>
      </c>
      <c r="K193" s="2">
        <f>D193/'Total Traffic'!D191</f>
        <v>0.49289978775709642</v>
      </c>
      <c r="L193" s="5">
        <f t="shared" si="135"/>
        <v>0.59379501556667336</v>
      </c>
      <c r="M193" s="5">
        <f t="shared" si="136"/>
        <v>0.67197934056761266</v>
      </c>
      <c r="N193" s="5">
        <f t="shared" si="137"/>
        <v>0.78727533869026822</v>
      </c>
      <c r="O193" s="5">
        <f t="shared" si="147"/>
        <v>6.1274117062106725E-3</v>
      </c>
      <c r="P193" s="2">
        <f t="shared" ref="P193:R193" si="201">(L193/L186)-1</f>
        <v>-2.5050856724534443E-3</v>
      </c>
      <c r="Q193" s="2">
        <f t="shared" si="201"/>
        <v>-1.2056863536357598E-2</v>
      </c>
      <c r="R193" s="2">
        <f t="shared" si="201"/>
        <v>-5.4192220597183427E-3</v>
      </c>
      <c r="S193" s="3"/>
    </row>
    <row r="194" spans="3:19" x14ac:dyDescent="0.25">
      <c r="C194" s="1">
        <f t="shared" si="139"/>
        <v>43656</v>
      </c>
      <c r="D194">
        <v>61650</v>
      </c>
      <c r="E194">
        <v>36484</v>
      </c>
      <c r="F194">
        <v>24841</v>
      </c>
      <c r="G194">
        <v>19440</v>
      </c>
      <c r="H194">
        <f>'Total Traffic'!D192-'Page Sessions'!D194</f>
        <v>69159</v>
      </c>
      <c r="I194" s="2">
        <f t="shared" si="134"/>
        <v>0.31532846715328466</v>
      </c>
      <c r="J194" s="2">
        <f t="shared" si="146"/>
        <v>-2.4215097119921203E-2</v>
      </c>
      <c r="K194" s="2">
        <f>D194/'Total Traffic'!D192</f>
        <v>0.4712978464784533</v>
      </c>
      <c r="L194" s="5">
        <f t="shared" si="135"/>
        <v>0.59179237631792381</v>
      </c>
      <c r="M194" s="5">
        <f t="shared" si="136"/>
        <v>0.6808738076965245</v>
      </c>
      <c r="N194" s="5">
        <f t="shared" si="137"/>
        <v>0.78257719093434241</v>
      </c>
      <c r="O194" s="5">
        <f t="shared" si="147"/>
        <v>-3.9142261671267997E-2</v>
      </c>
      <c r="P194" s="2">
        <f t="shared" ref="P194:R194" si="202">(L194/L187)-1</f>
        <v>1.6674661058631246E-2</v>
      </c>
      <c r="Q194" s="2">
        <f t="shared" si="202"/>
        <v>-2.6482523852386142E-2</v>
      </c>
      <c r="R194" s="2">
        <f t="shared" si="202"/>
        <v>-1.4110269719558532E-2</v>
      </c>
      <c r="S194" s="3"/>
    </row>
    <row r="195" spans="3:19" x14ac:dyDescent="0.25">
      <c r="C195" s="1">
        <f t="shared" si="139"/>
        <v>43657</v>
      </c>
      <c r="D195">
        <v>62955</v>
      </c>
      <c r="E195">
        <v>36583</v>
      </c>
      <c r="F195">
        <v>25428</v>
      </c>
      <c r="G195">
        <v>19960</v>
      </c>
      <c r="H195">
        <f>'Total Traffic'!D193-'Page Sessions'!D195</f>
        <v>67388</v>
      </c>
      <c r="I195" s="2">
        <f t="shared" si="134"/>
        <v>0.31705186244142641</v>
      </c>
      <c r="J195" s="2">
        <f t="shared" si="146"/>
        <v>-3.5779314254025252E-5</v>
      </c>
      <c r="K195" s="2">
        <f>D195/'Total Traffic'!D193</f>
        <v>0.48299486738835229</v>
      </c>
      <c r="L195" s="5">
        <f t="shared" si="135"/>
        <v>0.58109760940354216</v>
      </c>
      <c r="M195" s="5">
        <f t="shared" si="136"/>
        <v>0.69507694830932398</v>
      </c>
      <c r="N195" s="5">
        <f t="shared" si="137"/>
        <v>0.78496145980808563</v>
      </c>
      <c r="O195" s="5">
        <f t="shared" si="147"/>
        <v>2.6344361728118493E-2</v>
      </c>
      <c r="P195" s="2">
        <f t="shared" ref="P195:R195" si="203">(L195/L188)-1</f>
        <v>-2.0874767888455992E-2</v>
      </c>
      <c r="Q195" s="2">
        <f t="shared" si="203"/>
        <v>2.7208327632004536E-3</v>
      </c>
      <c r="R195" s="2">
        <f t="shared" si="203"/>
        <v>1.8512070923484059E-2</v>
      </c>
      <c r="S195" s="3"/>
    </row>
    <row r="196" spans="3:19" x14ac:dyDescent="0.25">
      <c r="C196" s="1">
        <f t="shared" si="139"/>
        <v>43658</v>
      </c>
      <c r="D196">
        <v>61494</v>
      </c>
      <c r="E196">
        <v>36748</v>
      </c>
      <c r="F196">
        <v>25025</v>
      </c>
      <c r="G196">
        <v>19747</v>
      </c>
      <c r="H196">
        <f>'Total Traffic'!D194-'Page Sessions'!D196</f>
        <v>68599</v>
      </c>
      <c r="I196" s="2">
        <f t="shared" si="134"/>
        <v>0.32112075974891857</v>
      </c>
      <c r="J196" s="2">
        <f t="shared" si="146"/>
        <v>2.7099765659887476E-2</v>
      </c>
      <c r="K196" s="2">
        <f>D196/'Total Traffic'!D194</f>
        <v>0.47269261220818953</v>
      </c>
      <c r="L196" s="5">
        <f t="shared" si="135"/>
        <v>0.59758675643152182</v>
      </c>
      <c r="M196" s="5">
        <f t="shared" si="136"/>
        <v>0.68098944160226405</v>
      </c>
      <c r="N196" s="5">
        <f t="shared" si="137"/>
        <v>0.78909090909090907</v>
      </c>
      <c r="O196" s="5">
        <f t="shared" si="147"/>
        <v>-5.3856155418823604E-2</v>
      </c>
      <c r="P196" s="2">
        <f t="shared" ref="P196:R196" si="204">(L196/L189)-1</f>
        <v>1.0992799429362599E-2</v>
      </c>
      <c r="Q196" s="2">
        <f t="shared" si="204"/>
        <v>-5.8428204740372802E-3</v>
      </c>
      <c r="R196" s="2">
        <f t="shared" si="204"/>
        <v>2.1902624386124669E-2</v>
      </c>
      <c r="S196" s="3"/>
    </row>
    <row r="197" spans="3:19" x14ac:dyDescent="0.25">
      <c r="C197" s="1">
        <f t="shared" si="139"/>
        <v>43659</v>
      </c>
      <c r="D197">
        <v>63531</v>
      </c>
      <c r="E197">
        <v>37184</v>
      </c>
      <c r="F197">
        <v>25088</v>
      </c>
      <c r="G197">
        <v>19872</v>
      </c>
      <c r="H197">
        <f>'Total Traffic'!D195-'Page Sessions'!D197</f>
        <v>67085</v>
      </c>
      <c r="I197" s="2">
        <f t="shared" ref="I197:I260" si="205">G197/D197</f>
        <v>0.3127921801954951</v>
      </c>
      <c r="J197" s="2">
        <f t="shared" si="146"/>
        <v>1.8368350393889159</v>
      </c>
      <c r="K197" s="2">
        <f>D197/'Total Traffic'!D195</f>
        <v>0.48639523488699699</v>
      </c>
      <c r="L197" s="5">
        <f t="shared" ref="L197:L260" si="206">E197/D197</f>
        <v>0.58528907147691678</v>
      </c>
      <c r="M197" s="5">
        <f t="shared" ref="M197:M260" si="207">F197/E197</f>
        <v>0.67469879518072284</v>
      </c>
      <c r="N197" s="5">
        <f t="shared" ref="N197:N260" si="208">G197/F197</f>
        <v>0.79209183673469385</v>
      </c>
      <c r="O197" s="5">
        <f t="shared" si="147"/>
        <v>1.1218133181711609E-2</v>
      </c>
      <c r="P197" s="2">
        <f t="shared" ref="P197:R197" si="209">(L197/L190)-1</f>
        <v>2.5929223037921112E-2</v>
      </c>
      <c r="Q197" s="2">
        <f t="shared" si="209"/>
        <v>1.7705667276051185</v>
      </c>
      <c r="R197" s="2">
        <f t="shared" si="209"/>
        <v>-1.9597242870658116E-3</v>
      </c>
      <c r="S197" s="3"/>
    </row>
    <row r="198" spans="3:19" x14ac:dyDescent="0.25">
      <c r="C198" s="1">
        <f t="shared" ref="C198:C261" si="210">C197+1</f>
        <v>43660</v>
      </c>
      <c r="D198">
        <v>61971</v>
      </c>
      <c r="E198">
        <v>36940</v>
      </c>
      <c r="F198">
        <v>25824</v>
      </c>
      <c r="G198">
        <v>19902</v>
      </c>
      <c r="H198">
        <f>'Total Traffic'!D196-'Page Sessions'!D198</f>
        <v>69020</v>
      </c>
      <c r="I198" s="2">
        <f t="shared" si="205"/>
        <v>0.32115021542334315</v>
      </c>
      <c r="J198" s="2">
        <f t="shared" si="146"/>
        <v>5.1903104995334903E-2</v>
      </c>
      <c r="K198" s="2">
        <f>D198/'Total Traffic'!D196</f>
        <v>0.47309357131405977</v>
      </c>
      <c r="L198" s="5">
        <f t="shared" si="206"/>
        <v>0.59608526568878994</v>
      </c>
      <c r="M198" s="5">
        <f t="shared" si="207"/>
        <v>0.69907958852192742</v>
      </c>
      <c r="N198" s="5">
        <f t="shared" si="208"/>
        <v>0.77067843866171004</v>
      </c>
      <c r="O198" s="5">
        <f t="shared" si="147"/>
        <v>-4.2509382249766081E-2</v>
      </c>
      <c r="P198" s="2">
        <f t="shared" ref="P198:R198" si="211">(L198/L191)-1</f>
        <v>2.9886870888863992E-2</v>
      </c>
      <c r="Q198" s="2">
        <f t="shared" si="211"/>
        <v>2.7319194417685155E-2</v>
      </c>
      <c r="R198" s="2">
        <f t="shared" si="211"/>
        <v>-5.7838517188720795E-3</v>
      </c>
      <c r="S198" s="3"/>
    </row>
    <row r="199" spans="3:19" x14ac:dyDescent="0.25">
      <c r="C199" s="1">
        <f t="shared" si="210"/>
        <v>43661</v>
      </c>
      <c r="D199">
        <v>64637</v>
      </c>
      <c r="E199">
        <v>38762</v>
      </c>
      <c r="F199">
        <v>26997</v>
      </c>
      <c r="G199">
        <v>21036</v>
      </c>
      <c r="H199">
        <f>'Total Traffic'!D197-'Page Sessions'!D199</f>
        <v>65971</v>
      </c>
      <c r="I199" s="2">
        <f t="shared" si="205"/>
        <v>0.32544827266116932</v>
      </c>
      <c r="J199" s="2">
        <f t="shared" si="146"/>
        <v>5.1806354022804868E-2</v>
      </c>
      <c r="K199" s="2">
        <f>D199/'Total Traffic'!D197</f>
        <v>0.49489311527624646</v>
      </c>
      <c r="L199" s="5">
        <f t="shared" si="206"/>
        <v>0.59968748549592343</v>
      </c>
      <c r="M199" s="5">
        <f t="shared" si="207"/>
        <v>0.69648108972705225</v>
      </c>
      <c r="N199" s="5">
        <f t="shared" si="208"/>
        <v>0.77919768863207028</v>
      </c>
      <c r="O199" s="5">
        <f t="shared" si="147"/>
        <v>5.1188183758444916E-2</v>
      </c>
      <c r="P199" s="2">
        <f t="shared" ref="P199:R199" si="212">(L199/L192)-1</f>
        <v>3.3419577406306633E-2</v>
      </c>
      <c r="Q199" s="2">
        <f t="shared" si="212"/>
        <v>2.2745219662835048E-2</v>
      </c>
      <c r="R199" s="2">
        <f t="shared" si="212"/>
        <v>-4.8428970848620745E-3</v>
      </c>
      <c r="S199" s="3"/>
    </row>
    <row r="200" spans="3:19" x14ac:dyDescent="0.25">
      <c r="C200" s="1">
        <f t="shared" si="210"/>
        <v>43662</v>
      </c>
      <c r="D200">
        <v>63655</v>
      </c>
      <c r="E200">
        <v>37199</v>
      </c>
      <c r="F200">
        <v>25741</v>
      </c>
      <c r="G200">
        <v>19838</v>
      </c>
      <c r="H200">
        <f>'Total Traffic'!D198-'Page Sessions'!D200</f>
        <v>66947</v>
      </c>
      <c r="I200" s="2">
        <f t="shared" si="205"/>
        <v>0.31164873144293459</v>
      </c>
      <c r="J200" s="2">
        <f t="shared" si="146"/>
        <v>-7.9210221050588503E-3</v>
      </c>
      <c r="K200" s="2">
        <f>D200/'Total Traffic'!D198</f>
        <v>0.48739682393837769</v>
      </c>
      <c r="L200" s="5">
        <f t="shared" si="206"/>
        <v>0.58438457308930958</v>
      </c>
      <c r="M200" s="5">
        <f t="shared" si="207"/>
        <v>0.69198096723030189</v>
      </c>
      <c r="N200" s="5">
        <f t="shared" si="208"/>
        <v>0.77067712987063441</v>
      </c>
      <c r="O200" s="5">
        <f t="shared" si="147"/>
        <v>-1.1164467819634427E-2</v>
      </c>
      <c r="P200" s="2">
        <f t="shared" ref="P200:R200" si="213">(L200/L193)-1</f>
        <v>-1.5847964753262778E-2</v>
      </c>
      <c r="Q200" s="2">
        <f t="shared" si="213"/>
        <v>2.9765240469735499E-2</v>
      </c>
      <c r="R200" s="2">
        <f t="shared" si="213"/>
        <v>-2.1083105241486488E-2</v>
      </c>
      <c r="S200" s="3"/>
    </row>
    <row r="201" spans="3:19" x14ac:dyDescent="0.25">
      <c r="C201" s="1">
        <f t="shared" si="210"/>
        <v>43663</v>
      </c>
      <c r="D201">
        <v>64960</v>
      </c>
      <c r="E201">
        <v>37514</v>
      </c>
      <c r="F201">
        <v>25288</v>
      </c>
      <c r="G201">
        <v>19896</v>
      </c>
      <c r="H201">
        <f>'Total Traffic'!D199-'Page Sessions'!D201</f>
        <v>65613</v>
      </c>
      <c r="I201" s="2">
        <f t="shared" si="205"/>
        <v>0.30628078817733989</v>
      </c>
      <c r="J201" s="2">
        <f t="shared" si="146"/>
        <v>-2.8692870826491523E-2</v>
      </c>
      <c r="K201" s="2">
        <f>D201/'Total Traffic'!D199</f>
        <v>0.49749948304779701</v>
      </c>
      <c r="L201" s="5">
        <f t="shared" si="206"/>
        <v>0.57749384236453205</v>
      </c>
      <c r="M201" s="5">
        <f t="shared" si="207"/>
        <v>0.67409500453164151</v>
      </c>
      <c r="N201" s="5">
        <f t="shared" si="208"/>
        <v>0.78677633660234103</v>
      </c>
      <c r="O201" s="5">
        <f t="shared" si="147"/>
        <v>5.5594645223021599E-2</v>
      </c>
      <c r="P201" s="2">
        <f t="shared" ref="P201:R201" si="214">(L201/L194)-1</f>
        <v>-2.4161402758102191E-2</v>
      </c>
      <c r="Q201" s="2">
        <f t="shared" si="214"/>
        <v>-9.956034566546923E-3</v>
      </c>
      <c r="R201" s="2">
        <f t="shared" si="214"/>
        <v>5.3657910256561525E-3</v>
      </c>
      <c r="S201" s="3"/>
    </row>
    <row r="202" spans="3:19" x14ac:dyDescent="0.25">
      <c r="C202" s="1">
        <f t="shared" si="210"/>
        <v>43664</v>
      </c>
      <c r="D202">
        <v>62755</v>
      </c>
      <c r="E202">
        <v>37571</v>
      </c>
      <c r="F202">
        <v>26047</v>
      </c>
      <c r="G202">
        <v>20561</v>
      </c>
      <c r="H202">
        <f>'Total Traffic'!D200-'Page Sessions'!D202</f>
        <v>68232</v>
      </c>
      <c r="I202" s="2">
        <f t="shared" si="205"/>
        <v>0.32763923193371047</v>
      </c>
      <c r="J202" s="2">
        <f t="shared" si="146"/>
        <v>3.339317867669056E-2</v>
      </c>
      <c r="K202" s="2">
        <f>D202/'Total Traffic'!D200</f>
        <v>0.4790933451411209</v>
      </c>
      <c r="L202" s="5">
        <f t="shared" si="206"/>
        <v>0.59869333120866863</v>
      </c>
      <c r="M202" s="5">
        <f t="shared" si="207"/>
        <v>0.69327406776503153</v>
      </c>
      <c r="N202" s="5">
        <f t="shared" si="208"/>
        <v>0.78938073482550775</v>
      </c>
      <c r="O202" s="5">
        <f t="shared" si="147"/>
        <v>-8.0777716507168806E-3</v>
      </c>
      <c r="P202" s="2">
        <f t="shared" ref="P202:R202" si="215">(L202/L195)-1</f>
        <v>3.0280148326865985E-2</v>
      </c>
      <c r="Q202" s="2">
        <f t="shared" si="215"/>
        <v>-2.5937855494670981E-3</v>
      </c>
      <c r="R202" s="2">
        <f t="shared" si="215"/>
        <v>5.6299261093692987E-3</v>
      </c>
      <c r="S202" s="3"/>
    </row>
    <row r="203" spans="3:19" x14ac:dyDescent="0.25">
      <c r="C203" s="1">
        <f t="shared" si="210"/>
        <v>43665</v>
      </c>
      <c r="D203">
        <v>64132</v>
      </c>
      <c r="E203">
        <v>37247</v>
      </c>
      <c r="F203">
        <v>25346</v>
      </c>
      <c r="G203">
        <v>20000</v>
      </c>
      <c r="H203">
        <f>'Total Traffic'!D201-'Page Sessions'!D203</f>
        <v>66192</v>
      </c>
      <c r="I203" s="2">
        <f t="shared" si="205"/>
        <v>0.31185679535957089</v>
      </c>
      <c r="J203" s="2">
        <f t="shared" si="146"/>
        <v>-2.884884925095188E-2</v>
      </c>
      <c r="K203" s="2">
        <f>D203/'Total Traffic'!D201</f>
        <v>0.49209662072987326</v>
      </c>
      <c r="L203" s="5">
        <f t="shared" si="206"/>
        <v>0.58078650283789679</v>
      </c>
      <c r="M203" s="5">
        <f t="shared" si="207"/>
        <v>0.6804843343088034</v>
      </c>
      <c r="N203" s="5">
        <f t="shared" si="208"/>
        <v>0.78907914463820716</v>
      </c>
      <c r="O203" s="5">
        <f t="shared" si="147"/>
        <v>4.1049950899460175E-2</v>
      </c>
      <c r="P203" s="2">
        <f t="shared" ref="P203:R203" si="216">(L203/L196)-1</f>
        <v>-2.8113497183149483E-2</v>
      </c>
      <c r="Q203" s="2">
        <f t="shared" si="216"/>
        <v>-7.4172558721641302E-4</v>
      </c>
      <c r="R203" s="2">
        <f t="shared" si="216"/>
        <v>-1.490886863142471E-5</v>
      </c>
      <c r="S203" s="3"/>
    </row>
    <row r="204" spans="3:19" x14ac:dyDescent="0.25">
      <c r="C204" s="1">
        <f t="shared" si="210"/>
        <v>43666</v>
      </c>
      <c r="D204">
        <v>61684</v>
      </c>
      <c r="E204">
        <v>36769</v>
      </c>
      <c r="F204">
        <v>25308</v>
      </c>
      <c r="G204">
        <v>19507</v>
      </c>
      <c r="H204">
        <f>'Total Traffic'!D202-'Page Sessions'!D204</f>
        <v>68479</v>
      </c>
      <c r="I204" s="2">
        <f t="shared" si="205"/>
        <v>0.31624084041242462</v>
      </c>
      <c r="J204" s="2">
        <f t="shared" ref="J204:J267" si="217">(I204/I197)-1</f>
        <v>1.1025404198960809E-2</v>
      </c>
      <c r="K204" s="2">
        <f>D204/'Total Traffic'!D202</f>
        <v>0.47389811236680163</v>
      </c>
      <c r="L204" s="5">
        <f t="shared" si="206"/>
        <v>0.59608650541469421</v>
      </c>
      <c r="M204" s="5">
        <f t="shared" si="207"/>
        <v>0.68829720688623564</v>
      </c>
      <c r="N204" s="5">
        <f t="shared" si="208"/>
        <v>0.77078394183657339</v>
      </c>
      <c r="O204" s="5">
        <f t="shared" ref="O204:O267" si="218">(K204/K197)-1</f>
        <v>-2.5693348996518872E-2</v>
      </c>
      <c r="P204" s="2">
        <f t="shared" ref="P204:R204" si="219">(L204/L197)-1</f>
        <v>1.8448036131156975E-2</v>
      </c>
      <c r="Q204" s="2">
        <f t="shared" si="219"/>
        <v>2.0154788777813515E-2</v>
      </c>
      <c r="R204" s="2">
        <f t="shared" si="219"/>
        <v>-2.6900788406000742E-2</v>
      </c>
      <c r="S204" s="3"/>
    </row>
    <row r="205" spans="3:19" x14ac:dyDescent="0.25">
      <c r="C205" s="1">
        <f t="shared" si="210"/>
        <v>43667</v>
      </c>
      <c r="D205">
        <v>64850</v>
      </c>
      <c r="E205">
        <v>37904</v>
      </c>
      <c r="F205">
        <v>25698</v>
      </c>
      <c r="G205">
        <v>20273</v>
      </c>
      <c r="H205">
        <f>'Total Traffic'!D203-'Page Sessions'!D205</f>
        <v>65267</v>
      </c>
      <c r="I205" s="2">
        <f t="shared" si="205"/>
        <v>0.3126137239784117</v>
      </c>
      <c r="J205" s="2">
        <f t="shared" si="217"/>
        <v>-2.6580992429597439E-2</v>
      </c>
      <c r="K205" s="2">
        <f>D205/'Total Traffic'!D203</f>
        <v>0.49839759600974509</v>
      </c>
      <c r="L205" s="5">
        <f t="shared" si="206"/>
        <v>0.58448727833461833</v>
      </c>
      <c r="M205" s="5">
        <f t="shared" si="207"/>
        <v>0.67797593921485855</v>
      </c>
      <c r="N205" s="5">
        <f t="shared" si="208"/>
        <v>0.78889407736010586</v>
      </c>
      <c r="O205" s="5">
        <f t="shared" si="218"/>
        <v>5.3486300026020395E-2</v>
      </c>
      <c r="P205" s="2">
        <f t="shared" ref="P205:R205" si="220">(L205/L198)-1</f>
        <v>-1.9456926754882753E-2</v>
      </c>
      <c r="Q205" s="2">
        <f t="shared" si="220"/>
        <v>-3.0187763530170497E-2</v>
      </c>
      <c r="R205" s="2">
        <f t="shared" si="220"/>
        <v>2.3635848344255583E-2</v>
      </c>
      <c r="S205" s="3"/>
    </row>
    <row r="206" spans="3:19" x14ac:dyDescent="0.25">
      <c r="C206" s="1">
        <f t="shared" si="210"/>
        <v>43668</v>
      </c>
      <c r="D206">
        <v>62865</v>
      </c>
      <c r="E206">
        <v>36499</v>
      </c>
      <c r="F206">
        <v>25363</v>
      </c>
      <c r="G206">
        <v>20133</v>
      </c>
      <c r="H206">
        <f>'Total Traffic'!D204-'Page Sessions'!D206</f>
        <v>67643</v>
      </c>
      <c r="I206" s="2">
        <f t="shared" si="205"/>
        <v>0.32025769506084467</v>
      </c>
      <c r="J206" s="2">
        <f t="shared" si="217"/>
        <v>-1.5949009524252933E-2</v>
      </c>
      <c r="K206" s="2">
        <f>D206/'Total Traffic'!D204</f>
        <v>0.48169460875961628</v>
      </c>
      <c r="L206" s="5">
        <f t="shared" si="206"/>
        <v>0.58059333492404364</v>
      </c>
      <c r="M206" s="5">
        <f t="shared" si="207"/>
        <v>0.69489575056850872</v>
      </c>
      <c r="N206" s="5">
        <f t="shared" si="208"/>
        <v>0.79379410952962981</v>
      </c>
      <c r="O206" s="5">
        <f t="shared" si="218"/>
        <v>-2.6669408220122093E-2</v>
      </c>
      <c r="P206" s="2">
        <f t="shared" ref="P206:R206" si="221">(L206/L199)-1</f>
        <v>-3.1840168477235253E-2</v>
      </c>
      <c r="Q206" s="2">
        <f t="shared" si="221"/>
        <v>-2.2762127815484368E-3</v>
      </c>
      <c r="R206" s="2">
        <f t="shared" si="221"/>
        <v>1.8732628587726508E-2</v>
      </c>
      <c r="S206" s="3"/>
    </row>
    <row r="207" spans="3:19" x14ac:dyDescent="0.25">
      <c r="C207" s="1">
        <f t="shared" si="210"/>
        <v>43669</v>
      </c>
      <c r="D207">
        <v>64597</v>
      </c>
      <c r="E207">
        <v>37098</v>
      </c>
      <c r="F207">
        <v>25107</v>
      </c>
      <c r="G207">
        <v>19950</v>
      </c>
      <c r="H207">
        <f>'Total Traffic'!D205-'Page Sessions'!D207</f>
        <v>66008</v>
      </c>
      <c r="I207" s="2">
        <f t="shared" si="205"/>
        <v>0.3088378717277892</v>
      </c>
      <c r="J207" s="2">
        <f t="shared" si="217"/>
        <v>-9.0193202524235794E-3</v>
      </c>
      <c r="K207" s="2">
        <f>D207/'Total Traffic'!D205</f>
        <v>0.49459821599479348</v>
      </c>
      <c r="L207" s="5">
        <f t="shared" si="206"/>
        <v>0.57429911605802131</v>
      </c>
      <c r="M207" s="5">
        <f t="shared" si="207"/>
        <v>0.67677502830341263</v>
      </c>
      <c r="N207" s="5">
        <f t="shared" si="208"/>
        <v>0.79459911578444253</v>
      </c>
      <c r="O207" s="5">
        <f t="shared" si="218"/>
        <v>1.477521334305254E-2</v>
      </c>
      <c r="P207" s="2">
        <f t="shared" ref="P207:R207" si="222">(L207/L200)-1</f>
        <v>-1.725825337580722E-2</v>
      </c>
      <c r="Q207" s="2">
        <f t="shared" si="222"/>
        <v>-2.1974504570193565E-2</v>
      </c>
      <c r="R207" s="2">
        <f t="shared" si="222"/>
        <v>3.1040217734012332E-2</v>
      </c>
      <c r="S207" s="3"/>
    </row>
    <row r="208" spans="3:19" x14ac:dyDescent="0.25">
      <c r="C208" s="1">
        <f t="shared" si="210"/>
        <v>43670</v>
      </c>
      <c r="D208">
        <v>63452</v>
      </c>
      <c r="E208">
        <v>37550</v>
      </c>
      <c r="F208">
        <v>25162</v>
      </c>
      <c r="G208">
        <v>19404</v>
      </c>
      <c r="H208">
        <f>'Total Traffic'!D206-'Page Sessions'!D208</f>
        <v>67162</v>
      </c>
      <c r="I208" s="2">
        <f t="shared" si="205"/>
        <v>0.30580596356300827</v>
      </c>
      <c r="J208" s="2">
        <f t="shared" si="217"/>
        <v>-1.550291865047404E-3</v>
      </c>
      <c r="K208" s="2">
        <f>D208/'Total Traffic'!D206</f>
        <v>0.4857978470914297</v>
      </c>
      <c r="L208" s="5">
        <f t="shared" si="206"/>
        <v>0.59178591691357252</v>
      </c>
      <c r="M208" s="5">
        <f t="shared" si="207"/>
        <v>0.67009320905459391</v>
      </c>
      <c r="N208" s="5">
        <f t="shared" si="208"/>
        <v>0.77116286463715122</v>
      </c>
      <c r="O208" s="5">
        <f t="shared" si="218"/>
        <v>-2.3520900734771422E-2</v>
      </c>
      <c r="P208" s="2">
        <f t="shared" ref="P208:R208" si="223">(L208/L201)-1</f>
        <v>2.4748444919381329E-2</v>
      </c>
      <c r="Q208" s="2">
        <f t="shared" si="223"/>
        <v>-5.9365452201030067E-3</v>
      </c>
      <c r="R208" s="2">
        <f t="shared" si="223"/>
        <v>-1.9844867262551302E-2</v>
      </c>
      <c r="S208" s="3"/>
    </row>
    <row r="209" spans="3:19" x14ac:dyDescent="0.25">
      <c r="C209" s="1">
        <f t="shared" si="210"/>
        <v>43671</v>
      </c>
      <c r="D209">
        <v>64920</v>
      </c>
      <c r="E209">
        <v>37867</v>
      </c>
      <c r="F209">
        <v>25757</v>
      </c>
      <c r="G209">
        <v>20131</v>
      </c>
      <c r="H209">
        <f>'Total Traffic'!D207-'Page Sessions'!D209</f>
        <v>66021</v>
      </c>
      <c r="I209" s="2">
        <f t="shared" si="205"/>
        <v>0.31008934072704869</v>
      </c>
      <c r="J209" s="2">
        <f t="shared" si="217"/>
        <v>-5.3564681808961678E-2</v>
      </c>
      <c r="K209" s="2">
        <f>D209/'Total Traffic'!D207</f>
        <v>0.4957958164364103</v>
      </c>
      <c r="L209" s="5">
        <f t="shared" si="206"/>
        <v>0.58328712261244609</v>
      </c>
      <c r="M209" s="5">
        <f t="shared" si="207"/>
        <v>0.68019647714368714</v>
      </c>
      <c r="N209" s="5">
        <f t="shared" si="208"/>
        <v>0.78157394106456501</v>
      </c>
      <c r="O209" s="5">
        <f t="shared" si="218"/>
        <v>3.4862666043439905E-2</v>
      </c>
      <c r="P209" s="2">
        <f t="shared" ref="P209:R209" si="224">(L209/L202)-1</f>
        <v>-2.5733055294134943E-2</v>
      </c>
      <c r="Q209" s="2">
        <f t="shared" si="224"/>
        <v>-1.8863521988502718E-2</v>
      </c>
      <c r="R209" s="2">
        <f t="shared" si="224"/>
        <v>-9.8897698113552535E-3</v>
      </c>
      <c r="S209" s="3"/>
    </row>
    <row r="210" spans="3:19" x14ac:dyDescent="0.25">
      <c r="C210" s="1">
        <f t="shared" si="210"/>
        <v>43672</v>
      </c>
      <c r="D210">
        <v>63298</v>
      </c>
      <c r="E210">
        <v>37174</v>
      </c>
      <c r="F210">
        <v>25203</v>
      </c>
      <c r="G210">
        <v>19691</v>
      </c>
      <c r="H210">
        <f>'Total Traffic'!D208-'Page Sessions'!D210</f>
        <v>67404</v>
      </c>
      <c r="I210" s="2">
        <f t="shared" si="205"/>
        <v>0.31108407848589215</v>
      </c>
      <c r="J210" s="2">
        <f t="shared" si="217"/>
        <v>-2.4777939271383165E-3</v>
      </c>
      <c r="K210" s="2">
        <f>D210/'Total Traffic'!D208</f>
        <v>0.48429251273890223</v>
      </c>
      <c r="L210" s="5">
        <f t="shared" si="206"/>
        <v>0.58728553824765395</v>
      </c>
      <c r="M210" s="5">
        <f t="shared" si="207"/>
        <v>0.67797385269274224</v>
      </c>
      <c r="N210" s="5">
        <f t="shared" si="208"/>
        <v>0.78129587747490381</v>
      </c>
      <c r="O210" s="5">
        <f t="shared" si="218"/>
        <v>-1.5858893685138598E-2</v>
      </c>
      <c r="P210" s="2">
        <f t="shared" ref="P210:R210" si="225">(L210/L203)-1</f>
        <v>1.1190059304065914E-2</v>
      </c>
      <c r="Q210" s="2">
        <f t="shared" si="225"/>
        <v>-3.6892570328032059E-3</v>
      </c>
      <c r="R210" s="2">
        <f t="shared" si="225"/>
        <v>-9.8637344760543755E-3</v>
      </c>
      <c r="S210" s="3"/>
    </row>
    <row r="211" spans="3:19" x14ac:dyDescent="0.25">
      <c r="C211" s="1">
        <f t="shared" si="210"/>
        <v>43673</v>
      </c>
      <c r="D211">
        <v>65055</v>
      </c>
      <c r="E211">
        <v>37855</v>
      </c>
      <c r="F211">
        <v>25756</v>
      </c>
      <c r="G211">
        <v>19973</v>
      </c>
      <c r="H211">
        <f>'Total Traffic'!D209-'Page Sessions'!D211</f>
        <v>65186</v>
      </c>
      <c r="I211" s="2">
        <f t="shared" si="205"/>
        <v>0.30701713934363228</v>
      </c>
      <c r="J211" s="2">
        <f t="shared" si="217"/>
        <v>-2.9166697940605224E-2</v>
      </c>
      <c r="K211" s="2">
        <f>D211/'Total Traffic'!D209</f>
        <v>0.4994970861710214</v>
      </c>
      <c r="L211" s="5">
        <f t="shared" si="206"/>
        <v>0.58189224502344172</v>
      </c>
      <c r="M211" s="5">
        <f t="shared" si="207"/>
        <v>0.68038568220842688</v>
      </c>
      <c r="N211" s="5">
        <f t="shared" si="208"/>
        <v>0.77546979344618727</v>
      </c>
      <c r="O211" s="5">
        <f t="shared" si="218"/>
        <v>5.401788514491046E-2</v>
      </c>
      <c r="P211" s="2">
        <f t="shared" ref="P211:R211" si="226">(L211/L204)-1</f>
        <v>-2.3812416926596303E-2</v>
      </c>
      <c r="Q211" s="2">
        <f t="shared" si="226"/>
        <v>-1.1494343720497513E-2</v>
      </c>
      <c r="R211" s="2">
        <f t="shared" si="226"/>
        <v>6.0793321646643861E-3</v>
      </c>
      <c r="S211" s="3"/>
    </row>
    <row r="212" spans="3:19" x14ac:dyDescent="0.25">
      <c r="C212" s="1">
        <f t="shared" si="210"/>
        <v>43674</v>
      </c>
      <c r="D212">
        <v>61252</v>
      </c>
      <c r="E212">
        <v>36163</v>
      </c>
      <c r="F212">
        <v>24992</v>
      </c>
      <c r="G212">
        <v>19521</v>
      </c>
      <c r="H212">
        <f>'Total Traffic'!D210-'Page Sessions'!D212</f>
        <v>68850</v>
      </c>
      <c r="I212" s="2">
        <f t="shared" si="205"/>
        <v>0.31869979755763078</v>
      </c>
      <c r="J212" s="2">
        <f t="shared" si="217"/>
        <v>1.9468350594996187E-2</v>
      </c>
      <c r="K212" s="2">
        <f>D212/'Total Traffic'!D210</f>
        <v>0.4707998339764185</v>
      </c>
      <c r="L212" s="5">
        <f t="shared" si="206"/>
        <v>0.59039704825964867</v>
      </c>
      <c r="M212" s="5">
        <f t="shared" si="207"/>
        <v>0.69109310621353315</v>
      </c>
      <c r="N212" s="5">
        <f t="shared" si="208"/>
        <v>0.78108994878361071</v>
      </c>
      <c r="O212" s="5">
        <f t="shared" si="218"/>
        <v>-5.5372983847191248E-2</v>
      </c>
      <c r="P212" s="2">
        <f t="shared" ref="P212:R212" si="227">(L212/L205)-1</f>
        <v>1.0111032599150915E-2</v>
      </c>
      <c r="Q212" s="2">
        <f t="shared" si="227"/>
        <v>1.9347540583615874E-2</v>
      </c>
      <c r="R212" s="2">
        <f t="shared" si="227"/>
        <v>-9.8924922882046573E-3</v>
      </c>
      <c r="S212" s="3"/>
    </row>
    <row r="213" spans="3:19" x14ac:dyDescent="0.25">
      <c r="C213" s="1">
        <f t="shared" si="210"/>
        <v>43675</v>
      </c>
      <c r="D213">
        <v>63650</v>
      </c>
      <c r="E213">
        <v>36694</v>
      </c>
      <c r="F213">
        <v>24907</v>
      </c>
      <c r="G213">
        <v>19721</v>
      </c>
      <c r="H213">
        <f>'Total Traffic'!D211-'Page Sessions'!D213</f>
        <v>66915</v>
      </c>
      <c r="I213" s="2">
        <f t="shared" si="205"/>
        <v>0.30983503534956797</v>
      </c>
      <c r="J213" s="2">
        <f t="shared" si="217"/>
        <v>-3.2544603524035653E-2</v>
      </c>
      <c r="K213" s="2">
        <f>D213/'Total Traffic'!D211</f>
        <v>0.48749664917857005</v>
      </c>
      <c r="L213" s="5">
        <f t="shared" si="206"/>
        <v>0.57649646504320506</v>
      </c>
      <c r="M213" s="5">
        <f t="shared" si="207"/>
        <v>0.67877582166021688</v>
      </c>
      <c r="N213" s="5">
        <f t="shared" si="208"/>
        <v>0.7917854418436584</v>
      </c>
      <c r="O213" s="5">
        <f t="shared" si="218"/>
        <v>1.2045059906097499E-2</v>
      </c>
      <c r="P213" s="2">
        <f t="shared" ref="P213:R213" si="228">(L213/L206)-1</f>
        <v>-7.0563501755915858E-3</v>
      </c>
      <c r="Q213" s="2">
        <f t="shared" si="228"/>
        <v>-2.3197621938404134E-2</v>
      </c>
      <c r="R213" s="2">
        <f t="shared" si="228"/>
        <v>-2.5304643381162117E-3</v>
      </c>
      <c r="S213" s="3"/>
    </row>
    <row r="214" spans="3:19" x14ac:dyDescent="0.25">
      <c r="C214" s="1">
        <f t="shared" si="210"/>
        <v>43676</v>
      </c>
      <c r="D214">
        <v>64340</v>
      </c>
      <c r="E214">
        <v>36898</v>
      </c>
      <c r="F214">
        <v>25640</v>
      </c>
      <c r="G214">
        <v>20322</v>
      </c>
      <c r="H214">
        <f>'Total Traffic'!D212-'Page Sessions'!D214</f>
        <v>66487</v>
      </c>
      <c r="I214" s="2">
        <f t="shared" si="205"/>
        <v>0.31585327945290642</v>
      </c>
      <c r="J214" s="2">
        <f t="shared" si="217"/>
        <v>2.2715503399468595E-2</v>
      </c>
      <c r="K214" s="2">
        <f>D214/'Total Traffic'!D212</f>
        <v>0.49179450725003249</v>
      </c>
      <c r="L214" s="5">
        <f t="shared" si="206"/>
        <v>0.5734846129934722</v>
      </c>
      <c r="M214" s="5">
        <f t="shared" si="207"/>
        <v>0.69488861184888073</v>
      </c>
      <c r="N214" s="5">
        <f t="shared" si="208"/>
        <v>0.79258970358814351</v>
      </c>
      <c r="O214" s="5">
        <f t="shared" si="218"/>
        <v>-5.6686592350961851E-3</v>
      </c>
      <c r="P214" s="2">
        <f t="shared" ref="P214:R214" si="229">(L214/L207)-1</f>
        <v>-1.4182558213563512E-3</v>
      </c>
      <c r="Q214" s="2">
        <f t="shared" si="229"/>
        <v>2.6764556592574706E-2</v>
      </c>
      <c r="R214" s="2">
        <f t="shared" si="229"/>
        <v>-2.5288376948611191E-3</v>
      </c>
      <c r="S214" s="3"/>
    </row>
    <row r="215" spans="3:19" x14ac:dyDescent="0.25">
      <c r="C215" s="1">
        <f t="shared" si="210"/>
        <v>43677</v>
      </c>
      <c r="D215">
        <v>63550</v>
      </c>
      <c r="E215">
        <v>37971</v>
      </c>
      <c r="F215">
        <v>26499</v>
      </c>
      <c r="G215">
        <v>20984</v>
      </c>
      <c r="H215">
        <f>'Total Traffic'!D213-'Page Sessions'!D215</f>
        <v>67455</v>
      </c>
      <c r="I215" s="2">
        <f t="shared" si="205"/>
        <v>0.33019669551534225</v>
      </c>
      <c r="J215" s="2">
        <f t="shared" si="217"/>
        <v>7.9758849919578267E-2</v>
      </c>
      <c r="K215" s="2">
        <f>D215/'Total Traffic'!D213</f>
        <v>0.48509598870272125</v>
      </c>
      <c r="L215" s="5">
        <f t="shared" si="206"/>
        <v>0.59749803304484661</v>
      </c>
      <c r="M215" s="5">
        <f t="shared" si="207"/>
        <v>0.69787469384530298</v>
      </c>
      <c r="N215" s="5">
        <f t="shared" si="208"/>
        <v>0.7918789388278803</v>
      </c>
      <c r="O215" s="5">
        <f t="shared" si="218"/>
        <v>-1.4447540122102254E-3</v>
      </c>
      <c r="P215" s="2">
        <f t="shared" ref="P215:R215" si="230">(L215/L208)-1</f>
        <v>9.6523353598296779E-3</v>
      </c>
      <c r="Q215" s="2">
        <f t="shared" si="230"/>
        <v>4.1459134961097099E-2</v>
      </c>
      <c r="R215" s="2">
        <f t="shared" si="230"/>
        <v>2.6863422943059323E-2</v>
      </c>
      <c r="S215" s="3"/>
    </row>
    <row r="216" spans="3:19" x14ac:dyDescent="0.25">
      <c r="C216" s="1">
        <f t="shared" si="210"/>
        <v>43678</v>
      </c>
      <c r="D216">
        <v>63003</v>
      </c>
      <c r="E216">
        <v>36485</v>
      </c>
      <c r="F216">
        <v>25313</v>
      </c>
      <c r="G216">
        <v>20209</v>
      </c>
      <c r="H216">
        <f>'Total Traffic'!D214-'Page Sessions'!D216</f>
        <v>67520</v>
      </c>
      <c r="I216" s="2">
        <f t="shared" si="205"/>
        <v>0.32076250337285528</v>
      </c>
      <c r="J216" s="2">
        <f t="shared" si="217"/>
        <v>3.4419637323817254E-2</v>
      </c>
      <c r="K216" s="2">
        <f>D216/'Total Traffic'!D214</f>
        <v>0.48269653624265457</v>
      </c>
      <c r="L216" s="5">
        <f t="shared" si="206"/>
        <v>0.57909940796470005</v>
      </c>
      <c r="M216" s="5">
        <f t="shared" si="207"/>
        <v>0.69379196930245302</v>
      </c>
      <c r="N216" s="5">
        <f t="shared" si="208"/>
        <v>0.79836447675107647</v>
      </c>
      <c r="O216" s="5">
        <f t="shared" si="218"/>
        <v>-2.6420715462886157E-2</v>
      </c>
      <c r="P216" s="2">
        <f t="shared" ref="P216:R216" si="231">(L216/L209)-1</f>
        <v>-7.1795081451309084E-3</v>
      </c>
      <c r="Q216" s="2">
        <f t="shared" si="231"/>
        <v>1.9987595666264957E-2</v>
      </c>
      <c r="R216" s="2">
        <f t="shared" si="231"/>
        <v>2.1482977878767739E-2</v>
      </c>
      <c r="S216" s="3"/>
    </row>
    <row r="217" spans="3:19" x14ac:dyDescent="0.25">
      <c r="C217" s="1">
        <f t="shared" si="210"/>
        <v>43679</v>
      </c>
      <c r="D217">
        <v>61377</v>
      </c>
      <c r="E217">
        <v>35574</v>
      </c>
      <c r="F217">
        <v>24076</v>
      </c>
      <c r="G217">
        <v>19195</v>
      </c>
      <c r="H217">
        <f>'Total Traffic'!D215-'Page Sessions'!D217</f>
        <v>68743</v>
      </c>
      <c r="I217" s="2">
        <f t="shared" si="205"/>
        <v>0.31273929973768677</v>
      </c>
      <c r="J217" s="2">
        <f t="shared" si="217"/>
        <v>5.3208163524500751E-3</v>
      </c>
      <c r="K217" s="2">
        <f>D217/'Total Traffic'!D215</f>
        <v>0.47169535813095603</v>
      </c>
      <c r="L217" s="5">
        <f t="shared" si="206"/>
        <v>0.57959822083190771</v>
      </c>
      <c r="M217" s="5">
        <f t="shared" si="207"/>
        <v>0.67678641704615727</v>
      </c>
      <c r="N217" s="5">
        <f t="shared" si="208"/>
        <v>0.79726698787173944</v>
      </c>
      <c r="O217" s="5">
        <f t="shared" si="218"/>
        <v>-2.6011458522667175E-2</v>
      </c>
      <c r="P217" s="2">
        <f t="shared" ref="P217:R217" si="232">(L217/L210)-1</f>
        <v>-1.3089573836065682E-2</v>
      </c>
      <c r="Q217" s="2">
        <f t="shared" si="232"/>
        <v>-1.7514475549001984E-3</v>
      </c>
      <c r="R217" s="2">
        <f t="shared" si="232"/>
        <v>2.0441820899469221E-2</v>
      </c>
      <c r="S217" s="3"/>
    </row>
    <row r="218" spans="3:19" x14ac:dyDescent="0.25">
      <c r="C218" s="1">
        <f t="shared" si="210"/>
        <v>43680</v>
      </c>
      <c r="D218">
        <v>64015</v>
      </c>
      <c r="E218">
        <v>37122</v>
      </c>
      <c r="F218">
        <v>25261</v>
      </c>
      <c r="G218">
        <v>20049</v>
      </c>
      <c r="H218">
        <f>'Total Traffic'!D216-'Page Sessions'!D218</f>
        <v>66709</v>
      </c>
      <c r="I218" s="2">
        <f t="shared" si="205"/>
        <v>0.31319222057330315</v>
      </c>
      <c r="J218" s="2">
        <f t="shared" si="217"/>
        <v>2.0113148219908838E-2</v>
      </c>
      <c r="K218" s="2">
        <f>D218/'Total Traffic'!D216</f>
        <v>0.48969584774027725</v>
      </c>
      <c r="L218" s="5">
        <f t="shared" si="206"/>
        <v>0.57989533703038354</v>
      </c>
      <c r="M218" s="5">
        <f t="shared" si="207"/>
        <v>0.6804859651958407</v>
      </c>
      <c r="N218" s="5">
        <f t="shared" si="208"/>
        <v>0.79367404299117217</v>
      </c>
      <c r="O218" s="5">
        <f t="shared" si="218"/>
        <v>-1.9622213426462976E-2</v>
      </c>
      <c r="P218" s="2">
        <f t="shared" ref="P218:R218" si="233">(L218/L211)-1</f>
        <v>-3.4317487647179679E-3</v>
      </c>
      <c r="Q218" s="2">
        <f t="shared" si="233"/>
        <v>1.4739138408725871E-4</v>
      </c>
      <c r="R218" s="2">
        <f t="shared" si="233"/>
        <v>2.3475123981406387E-2</v>
      </c>
      <c r="S218" s="3"/>
    </row>
    <row r="219" spans="3:19" x14ac:dyDescent="0.25">
      <c r="C219" s="1">
        <f t="shared" si="210"/>
        <v>43681</v>
      </c>
      <c r="D219">
        <v>63604</v>
      </c>
      <c r="E219">
        <v>37405</v>
      </c>
      <c r="F219">
        <v>25936</v>
      </c>
      <c r="G219">
        <v>20707</v>
      </c>
      <c r="H219">
        <f>'Total Traffic'!D217-'Page Sessions'!D219</f>
        <v>66707</v>
      </c>
      <c r="I219" s="2">
        <f t="shared" si="205"/>
        <v>0.32556128545374508</v>
      </c>
      <c r="J219" s="2">
        <f t="shared" si="217"/>
        <v>2.1529627407038232E-2</v>
      </c>
      <c r="K219" s="2">
        <f>D219/'Total Traffic'!D217</f>
        <v>0.48809386774715874</v>
      </c>
      <c r="L219" s="5">
        <f t="shared" si="206"/>
        <v>0.58809194390289921</v>
      </c>
      <c r="M219" s="5">
        <f t="shared" si="207"/>
        <v>0.6933832375350889</v>
      </c>
      <c r="N219" s="5">
        <f t="shared" si="208"/>
        <v>0.79838834053053676</v>
      </c>
      <c r="O219" s="5">
        <f t="shared" si="218"/>
        <v>3.6733304735206085E-2</v>
      </c>
      <c r="P219" s="2">
        <f t="shared" ref="P219:R219" si="234">(L219/L212)-1</f>
        <v>-3.9043290672681197E-3</v>
      </c>
      <c r="Q219" s="2">
        <f t="shared" si="234"/>
        <v>3.3137811692309782E-3</v>
      </c>
      <c r="R219" s="2">
        <f t="shared" si="234"/>
        <v>2.2146478486715582E-2</v>
      </c>
      <c r="S219" s="3"/>
    </row>
    <row r="220" spans="3:19" x14ac:dyDescent="0.25">
      <c r="C220" s="1">
        <f t="shared" si="210"/>
        <v>43682</v>
      </c>
      <c r="D220">
        <v>63788</v>
      </c>
      <c r="E220">
        <v>38068</v>
      </c>
      <c r="F220">
        <v>26095</v>
      </c>
      <c r="G220">
        <v>20414</v>
      </c>
      <c r="H220">
        <f>'Total Traffic'!D218-'Page Sessions'!D220</f>
        <v>66553</v>
      </c>
      <c r="I220" s="2">
        <f t="shared" si="205"/>
        <v>0.32002884555088729</v>
      </c>
      <c r="J220" s="2">
        <f t="shared" si="217"/>
        <v>3.2900766660614256E-2</v>
      </c>
      <c r="K220" s="2">
        <f>D220/'Total Traffic'!D218</f>
        <v>0.4893932070492017</v>
      </c>
      <c r="L220" s="5">
        <f t="shared" si="206"/>
        <v>0.59678936477080324</v>
      </c>
      <c r="M220" s="5">
        <f t="shared" si="207"/>
        <v>0.68548387096774188</v>
      </c>
      <c r="N220" s="5">
        <f t="shared" si="208"/>
        <v>0.78229545890017249</v>
      </c>
      <c r="O220" s="5">
        <f t="shared" si="218"/>
        <v>3.8904018598431289E-3</v>
      </c>
      <c r="P220" s="2">
        <f t="shared" ref="P220:R220" si="235">(L220/L213)-1</f>
        <v>3.5200388828190654E-2</v>
      </c>
      <c r="Q220" s="2">
        <f t="shared" si="235"/>
        <v>9.882569610564218E-3</v>
      </c>
      <c r="R220" s="2">
        <f t="shared" si="235"/>
        <v>-1.1985548662512224E-2</v>
      </c>
      <c r="S220" s="3"/>
    </row>
    <row r="221" spans="3:19" x14ac:dyDescent="0.25">
      <c r="C221" s="1">
        <f t="shared" si="210"/>
        <v>43683</v>
      </c>
      <c r="D221">
        <v>61668</v>
      </c>
      <c r="E221">
        <v>36606</v>
      </c>
      <c r="F221">
        <v>24591</v>
      </c>
      <c r="G221">
        <v>18999</v>
      </c>
      <c r="H221">
        <f>'Total Traffic'!D219-'Page Sessions'!D221</f>
        <v>69068</v>
      </c>
      <c r="I221" s="2">
        <f t="shared" si="205"/>
        <v>0.30808523058960885</v>
      </c>
      <c r="J221" s="2">
        <f t="shared" si="217"/>
        <v>-2.4593852173239172E-2</v>
      </c>
      <c r="K221" s="2">
        <f>D221/'Total Traffic'!D219</f>
        <v>0.47169869049076002</v>
      </c>
      <c r="L221" s="5">
        <f t="shared" si="206"/>
        <v>0.59359797625997279</v>
      </c>
      <c r="M221" s="5">
        <f t="shared" si="207"/>
        <v>0.67177511883297825</v>
      </c>
      <c r="N221" s="5">
        <f t="shared" si="208"/>
        <v>0.77259973160912532</v>
      </c>
      <c r="O221" s="5">
        <f t="shared" si="218"/>
        <v>-4.0862222865485576E-2</v>
      </c>
      <c r="P221" s="2">
        <f t="shared" ref="P221:R221" si="236">(L221/L214)-1</f>
        <v>3.5072193413373309E-2</v>
      </c>
      <c r="Q221" s="2">
        <f t="shared" si="236"/>
        <v>-3.3262155432947305E-2</v>
      </c>
      <c r="R221" s="2">
        <f t="shared" si="236"/>
        <v>-2.5221084614802991E-2</v>
      </c>
      <c r="S221" s="3"/>
    </row>
    <row r="222" spans="3:19" x14ac:dyDescent="0.25">
      <c r="C222" s="1">
        <f t="shared" si="210"/>
        <v>43684</v>
      </c>
      <c r="D222">
        <v>62089</v>
      </c>
      <c r="E222">
        <v>35651</v>
      </c>
      <c r="F222">
        <v>24880</v>
      </c>
      <c r="G222">
        <v>19797</v>
      </c>
      <c r="H222">
        <f>'Total Traffic'!D220-'Page Sessions'!D222</f>
        <v>68901</v>
      </c>
      <c r="I222" s="2">
        <f t="shared" si="205"/>
        <v>0.31884874937589591</v>
      </c>
      <c r="J222" s="2">
        <f t="shared" si="217"/>
        <v>-3.4367231088534789E-2</v>
      </c>
      <c r="K222" s="2">
        <f>D222/'Total Traffic'!D220</f>
        <v>0.4739980151156577</v>
      </c>
      <c r="L222" s="5">
        <f t="shared" si="206"/>
        <v>0.57419188584129233</v>
      </c>
      <c r="M222" s="5">
        <f t="shared" si="207"/>
        <v>0.69787663740147543</v>
      </c>
      <c r="N222" s="5">
        <f t="shared" si="208"/>
        <v>0.79569935691318328</v>
      </c>
      <c r="O222" s="5">
        <f t="shared" si="218"/>
        <v>-2.2877891892576829E-2</v>
      </c>
      <c r="P222" s="2">
        <f t="shared" ref="P222:R222" si="237">(L222/L215)-1</f>
        <v>-3.9006232513915218E-2</v>
      </c>
      <c r="Q222" s="2">
        <f t="shared" si="237"/>
        <v>2.7849643919886091E-6</v>
      </c>
      <c r="R222" s="2">
        <f t="shared" si="237"/>
        <v>4.8244976573790233E-3</v>
      </c>
      <c r="S222" s="3"/>
    </row>
    <row r="223" spans="3:19" x14ac:dyDescent="0.25">
      <c r="C223" s="1">
        <f t="shared" si="210"/>
        <v>43685</v>
      </c>
      <c r="D223">
        <v>61596</v>
      </c>
      <c r="E223">
        <v>35713</v>
      </c>
      <c r="F223">
        <v>24381</v>
      </c>
      <c r="G223">
        <v>19241</v>
      </c>
      <c r="H223">
        <f>'Total Traffic'!D221-'Page Sessions'!D223</f>
        <v>69294</v>
      </c>
      <c r="I223" s="2">
        <f t="shared" si="205"/>
        <v>0.31237418014156765</v>
      </c>
      <c r="J223" s="2">
        <f t="shared" si="217"/>
        <v>-2.6151196424405665E-2</v>
      </c>
      <c r="K223" s="2">
        <f>D223/'Total Traffic'!D221</f>
        <v>0.47059362823745132</v>
      </c>
      <c r="L223" s="5">
        <f t="shared" si="206"/>
        <v>0.57979414247678418</v>
      </c>
      <c r="M223" s="5">
        <f t="shared" si="207"/>
        <v>0.68269257693276963</v>
      </c>
      <c r="N223" s="5">
        <f t="shared" si="208"/>
        <v>0.78918009925761867</v>
      </c>
      <c r="O223" s="5">
        <f t="shared" si="218"/>
        <v>-2.5073533983510976E-2</v>
      </c>
      <c r="P223" s="2">
        <f t="shared" ref="P223:R223" si="238">(L223/L216)-1</f>
        <v>1.1996809227035055E-3</v>
      </c>
      <c r="Q223" s="2">
        <f t="shared" si="238"/>
        <v>-1.599815630734791E-2</v>
      </c>
      <c r="R223" s="2">
        <f t="shared" si="238"/>
        <v>-1.1503990672071751E-2</v>
      </c>
      <c r="S223" s="3"/>
    </row>
    <row r="224" spans="3:19" x14ac:dyDescent="0.25">
      <c r="C224" s="1">
        <f t="shared" si="210"/>
        <v>43686</v>
      </c>
      <c r="D224">
        <v>65150</v>
      </c>
      <c r="E224">
        <v>38001</v>
      </c>
      <c r="F224">
        <v>25798</v>
      </c>
      <c r="G224">
        <v>20597</v>
      </c>
      <c r="H224">
        <f>'Total Traffic'!D222-'Page Sessions'!D224</f>
        <v>65806</v>
      </c>
      <c r="I224" s="2">
        <f t="shared" si="205"/>
        <v>0.31614735226400614</v>
      </c>
      <c r="J224" s="2">
        <f t="shared" si="217"/>
        <v>1.0897423282516527E-2</v>
      </c>
      <c r="K224" s="2">
        <f>D224/'Total Traffic'!D222</f>
        <v>0.49749534194691347</v>
      </c>
      <c r="L224" s="5">
        <f t="shared" si="206"/>
        <v>0.58328472755180349</v>
      </c>
      <c r="M224" s="5">
        <f t="shared" si="207"/>
        <v>0.67887687166127209</v>
      </c>
      <c r="N224" s="5">
        <f t="shared" si="208"/>
        <v>0.79839522443600275</v>
      </c>
      <c r="O224" s="5">
        <f t="shared" si="218"/>
        <v>5.469628515783409E-2</v>
      </c>
      <c r="P224" s="2">
        <f t="shared" ref="P224:R224" si="239">(L224/L217)-1</f>
        <v>6.3604520983595592E-3</v>
      </c>
      <c r="Q224" s="2">
        <f t="shared" si="239"/>
        <v>3.0887951685534265E-3</v>
      </c>
      <c r="R224" s="2">
        <f t="shared" si="239"/>
        <v>1.415130165209888E-3</v>
      </c>
      <c r="S224" s="3"/>
    </row>
    <row r="225" spans="3:19" x14ac:dyDescent="0.25">
      <c r="C225" s="1">
        <f t="shared" si="210"/>
        <v>43687</v>
      </c>
      <c r="D225">
        <v>64603</v>
      </c>
      <c r="E225">
        <v>38542</v>
      </c>
      <c r="F225">
        <v>25892</v>
      </c>
      <c r="G225">
        <v>19993</v>
      </c>
      <c r="H225">
        <f>'Total Traffic'!D223-'Page Sessions'!D225</f>
        <v>65857</v>
      </c>
      <c r="I225" s="2">
        <f t="shared" si="205"/>
        <v>0.30947479219231305</v>
      </c>
      <c r="J225" s="2">
        <f t="shared" si="217"/>
        <v>-1.1869478667718147E-2</v>
      </c>
      <c r="K225" s="2">
        <f>D225/'Total Traffic'!D223</f>
        <v>0.49519392917369309</v>
      </c>
      <c r="L225" s="5">
        <f t="shared" si="206"/>
        <v>0.59659768122223422</v>
      </c>
      <c r="M225" s="5">
        <f t="shared" si="207"/>
        <v>0.67178662238596853</v>
      </c>
      <c r="N225" s="5">
        <f t="shared" si="208"/>
        <v>0.77216900973273594</v>
      </c>
      <c r="O225" s="5">
        <f t="shared" si="218"/>
        <v>1.1227543502333015E-2</v>
      </c>
      <c r="P225" s="2">
        <f t="shared" ref="P225:R225" si="240">(L225/L218)-1</f>
        <v>2.8802342638902134E-2</v>
      </c>
      <c r="Q225" s="2">
        <f t="shared" si="240"/>
        <v>-1.2784015034562168E-2</v>
      </c>
      <c r="R225" s="2">
        <f t="shared" si="240"/>
        <v>-2.7095548164065897E-2</v>
      </c>
      <c r="S225" s="3"/>
    </row>
    <row r="226" spans="3:19" x14ac:dyDescent="0.25">
      <c r="C226" s="1">
        <f t="shared" si="210"/>
        <v>43688</v>
      </c>
      <c r="D226">
        <v>81037</v>
      </c>
      <c r="E226">
        <v>47009</v>
      </c>
      <c r="F226">
        <v>32873</v>
      </c>
      <c r="G226">
        <v>26163</v>
      </c>
      <c r="H226">
        <f>'Total Traffic'!D224-'Page Sessions'!D226</f>
        <v>84210</v>
      </c>
      <c r="I226" s="2">
        <f t="shared" si="205"/>
        <v>0.32285252415563259</v>
      </c>
      <c r="J226" s="2">
        <f t="shared" si="217"/>
        <v>-8.3202807555486924E-3</v>
      </c>
      <c r="K226" s="2">
        <f>D226/'Total Traffic'!D224</f>
        <v>0.49039922056073637</v>
      </c>
      <c r="L226" s="5">
        <f t="shared" si="206"/>
        <v>0.58009304391821015</v>
      </c>
      <c r="M226" s="5">
        <f t="shared" si="207"/>
        <v>0.69929162500797715</v>
      </c>
      <c r="N226" s="5">
        <f t="shared" si="208"/>
        <v>0.79588111824293495</v>
      </c>
      <c r="O226" s="5">
        <f t="shared" si="218"/>
        <v>4.7231751224783292E-3</v>
      </c>
      <c r="P226" s="2">
        <f t="shared" ref="P226:R226" si="241">(L226/L219)-1</f>
        <v>-1.360144458297452E-2</v>
      </c>
      <c r="Q226" s="2">
        <f t="shared" si="241"/>
        <v>8.5210993762872E-3</v>
      </c>
      <c r="R226" s="2">
        <f t="shared" si="241"/>
        <v>-3.1403543367576336E-3</v>
      </c>
      <c r="S226" s="3"/>
    </row>
    <row r="227" spans="3:19" x14ac:dyDescent="0.25">
      <c r="C227" s="1">
        <f t="shared" si="210"/>
        <v>43689</v>
      </c>
      <c r="D227">
        <v>63484</v>
      </c>
      <c r="E227">
        <v>37246</v>
      </c>
      <c r="F227">
        <v>25349</v>
      </c>
      <c r="G227">
        <v>19549</v>
      </c>
      <c r="H227">
        <f>'Total Traffic'!D225-'Page Sessions'!D227</f>
        <v>66714</v>
      </c>
      <c r="I227" s="2">
        <f t="shared" si="205"/>
        <v>0.30793585785394745</v>
      </c>
      <c r="J227" s="2">
        <f t="shared" si="217"/>
        <v>-3.7787180327833791E-2</v>
      </c>
      <c r="K227" s="2">
        <f>D227/'Total Traffic'!D225</f>
        <v>0.48759581560392634</v>
      </c>
      <c r="L227" s="5">
        <f t="shared" si="206"/>
        <v>0.58669901077436837</v>
      </c>
      <c r="M227" s="5">
        <f t="shared" si="207"/>
        <v>0.68058314986844226</v>
      </c>
      <c r="N227" s="5">
        <f t="shared" si="208"/>
        <v>0.77119412994595449</v>
      </c>
      <c r="O227" s="5">
        <f t="shared" si="218"/>
        <v>-3.6726938980472523E-3</v>
      </c>
      <c r="P227" s="2">
        <f t="shared" ref="P227:R227" si="242">(L227/L220)-1</f>
        <v>-1.6907730921629449E-2</v>
      </c>
      <c r="Q227" s="2">
        <f t="shared" si="242"/>
        <v>-7.1492872507429306E-3</v>
      </c>
      <c r="R227" s="2">
        <f t="shared" si="242"/>
        <v>-1.4190711230543718E-2</v>
      </c>
      <c r="S227" s="3"/>
    </row>
    <row r="228" spans="3:19" x14ac:dyDescent="0.25">
      <c r="C228" s="1">
        <f t="shared" si="210"/>
        <v>43690</v>
      </c>
      <c r="D228">
        <v>62116</v>
      </c>
      <c r="E228">
        <v>36325</v>
      </c>
      <c r="F228">
        <v>25020</v>
      </c>
      <c r="G228">
        <v>19623</v>
      </c>
      <c r="H228">
        <f>'Total Traffic'!D226-'Page Sessions'!D228</f>
        <v>68134</v>
      </c>
      <c r="I228" s="2">
        <f t="shared" si="205"/>
        <v>0.31590894455534807</v>
      </c>
      <c r="J228" s="2">
        <f t="shared" si="217"/>
        <v>2.5394641446350175E-2</v>
      </c>
      <c r="K228" s="2">
        <f>D228/'Total Traffic'!D226</f>
        <v>0.47689827255278311</v>
      </c>
      <c r="L228" s="5">
        <f t="shared" si="206"/>
        <v>0.58479296799536351</v>
      </c>
      <c r="M228" s="5">
        <f t="shared" si="207"/>
        <v>0.68878183069511356</v>
      </c>
      <c r="N228" s="5">
        <f t="shared" si="208"/>
        <v>0.78429256594724217</v>
      </c>
      <c r="O228" s="5">
        <f t="shared" si="218"/>
        <v>1.1023100480973103E-2</v>
      </c>
      <c r="P228" s="2">
        <f t="shared" ref="P228:R228" si="243">(L228/L221)-1</f>
        <v>-1.4833285517727335E-2</v>
      </c>
      <c r="Q228" s="2">
        <f t="shared" si="243"/>
        <v>2.5316078826616462E-2</v>
      </c>
      <c r="R228" s="2">
        <f t="shared" si="243"/>
        <v>1.5134401242624884E-2</v>
      </c>
      <c r="S228" s="3"/>
    </row>
    <row r="229" spans="3:19" x14ac:dyDescent="0.25">
      <c r="C229" s="1">
        <f t="shared" si="210"/>
        <v>43691</v>
      </c>
      <c r="D229">
        <v>64866</v>
      </c>
      <c r="E229">
        <v>38737</v>
      </c>
      <c r="F229">
        <v>26713</v>
      </c>
      <c r="G229">
        <v>21367</v>
      </c>
      <c r="H229">
        <f>'Total Traffic'!D227-'Page Sessions'!D229</f>
        <v>65492</v>
      </c>
      <c r="I229" s="2">
        <f t="shared" si="205"/>
        <v>0.32940215212900442</v>
      </c>
      <c r="J229" s="2">
        <f t="shared" si="217"/>
        <v>3.3098460551485243E-2</v>
      </c>
      <c r="K229" s="2">
        <f>D229/'Total Traffic'!D227</f>
        <v>0.49759891989751298</v>
      </c>
      <c r="L229" s="5">
        <f t="shared" si="206"/>
        <v>0.59718496592976289</v>
      </c>
      <c r="M229" s="5">
        <f t="shared" si="207"/>
        <v>0.68959909130805175</v>
      </c>
      <c r="N229" s="5">
        <f t="shared" si="208"/>
        <v>0.79987272114700703</v>
      </c>
      <c r="O229" s="5">
        <f t="shared" si="218"/>
        <v>4.9791146859753388E-2</v>
      </c>
      <c r="P229" s="2">
        <f t="shared" ref="P229:R229" si="244">(L229/L222)-1</f>
        <v>4.0044244189869849E-2</v>
      </c>
      <c r="Q229" s="2">
        <f t="shared" si="244"/>
        <v>-1.1861044846328328E-2</v>
      </c>
      <c r="R229" s="2">
        <f t="shared" si="244"/>
        <v>5.2449008505093264E-3</v>
      </c>
      <c r="S229" s="3"/>
    </row>
    <row r="230" spans="3:19" x14ac:dyDescent="0.25">
      <c r="C230" s="1">
        <f t="shared" si="210"/>
        <v>43692</v>
      </c>
      <c r="D230">
        <v>61857</v>
      </c>
      <c r="E230">
        <v>35450</v>
      </c>
      <c r="F230">
        <v>24666</v>
      </c>
      <c r="G230">
        <v>19246</v>
      </c>
      <c r="H230">
        <f>'Total Traffic'!D228-'Page Sessions'!D230</f>
        <v>69196</v>
      </c>
      <c r="I230" s="2">
        <f t="shared" si="205"/>
        <v>0.3111369772216564</v>
      </c>
      <c r="J230" s="2">
        <f t="shared" si="217"/>
        <v>-3.9606439922484915E-3</v>
      </c>
      <c r="K230" s="2">
        <f>D230/'Total Traffic'!D228</f>
        <v>0.47199987791198983</v>
      </c>
      <c r="L230" s="5">
        <f t="shared" si="206"/>
        <v>0.57309601176908032</v>
      </c>
      <c r="M230" s="5">
        <f t="shared" si="207"/>
        <v>0.69579689703808179</v>
      </c>
      <c r="N230" s="5">
        <f t="shared" si="208"/>
        <v>0.78026433146841812</v>
      </c>
      <c r="O230" s="5">
        <f t="shared" si="218"/>
        <v>2.9882463130779247E-3</v>
      </c>
      <c r="P230" s="2">
        <f t="shared" ref="P230:R230" si="245">(L230/L223)-1</f>
        <v>-1.1552601547664132E-2</v>
      </c>
      <c r="Q230" s="2">
        <f t="shared" si="245"/>
        <v>1.9195052865797591E-2</v>
      </c>
      <c r="R230" s="2">
        <f t="shared" si="245"/>
        <v>-1.1297507118574801E-2</v>
      </c>
      <c r="S230" s="3"/>
    </row>
    <row r="231" spans="3:19" x14ac:dyDescent="0.25">
      <c r="C231" s="1">
        <f t="shared" si="210"/>
        <v>43693</v>
      </c>
      <c r="D231">
        <v>64958</v>
      </c>
      <c r="E231">
        <v>38708</v>
      </c>
      <c r="F231">
        <v>26259</v>
      </c>
      <c r="G231">
        <v>20818</v>
      </c>
      <c r="H231">
        <f>'Total Traffic'!D229-'Page Sessions'!D231</f>
        <v>65664</v>
      </c>
      <c r="I231" s="2">
        <f t="shared" si="205"/>
        <v>0.32048400504941654</v>
      </c>
      <c r="J231" s="2">
        <f t="shared" si="217"/>
        <v>1.371718837546676E-2</v>
      </c>
      <c r="K231" s="2">
        <f>D231/'Total Traffic'!D229</f>
        <v>0.49729754558956379</v>
      </c>
      <c r="L231" s="5">
        <f t="shared" si="206"/>
        <v>0.59589273068752113</v>
      </c>
      <c r="M231" s="5">
        <f t="shared" si="207"/>
        <v>0.67838689676552655</v>
      </c>
      <c r="N231" s="5">
        <f t="shared" si="208"/>
        <v>0.79279485128908189</v>
      </c>
      <c r="O231" s="5">
        <f t="shared" si="218"/>
        <v>-3.975843403389856E-4</v>
      </c>
      <c r="P231" s="2">
        <f t="shared" ref="P231:R231" si="246">(L231/L224)-1</f>
        <v>2.1615520757138018E-2</v>
      </c>
      <c r="Q231" s="2">
        <f t="shared" si="246"/>
        <v>-7.2174339147323963E-4</v>
      </c>
      <c r="R231" s="2">
        <f t="shared" si="246"/>
        <v>-7.0145373813790268E-3</v>
      </c>
      <c r="S231" s="3"/>
    </row>
    <row r="232" spans="3:19" x14ac:dyDescent="0.25">
      <c r="C232" s="1">
        <f t="shared" si="210"/>
        <v>43694</v>
      </c>
      <c r="D232">
        <v>63328</v>
      </c>
      <c r="E232">
        <v>36736</v>
      </c>
      <c r="F232">
        <v>25138</v>
      </c>
      <c r="G232">
        <v>19899</v>
      </c>
      <c r="H232">
        <f>'Total Traffic'!D230-'Page Sessions'!D232</f>
        <v>66737</v>
      </c>
      <c r="I232" s="2">
        <f t="shared" si="205"/>
        <v>0.3142211975745326</v>
      </c>
      <c r="J232" s="2">
        <f t="shared" si="217"/>
        <v>1.5336969284626134E-2</v>
      </c>
      <c r="K232" s="2">
        <f>D232/'Total Traffic'!D230</f>
        <v>0.48689501403144581</v>
      </c>
      <c r="L232" s="5">
        <f t="shared" si="206"/>
        <v>0.58009095502779184</v>
      </c>
      <c r="M232" s="5">
        <f t="shared" si="207"/>
        <v>0.68428789198606277</v>
      </c>
      <c r="N232" s="5">
        <f t="shared" si="208"/>
        <v>0.79159042087676024</v>
      </c>
      <c r="O232" s="5">
        <f t="shared" si="218"/>
        <v>-1.6758919391631655E-2</v>
      </c>
      <c r="P232" s="2">
        <f t="shared" ref="P232:R232" si="247">(L232/L225)-1</f>
        <v>-2.7668103168999036E-2</v>
      </c>
      <c r="Q232" s="2">
        <f t="shared" si="247"/>
        <v>1.8608988603693533E-2</v>
      </c>
      <c r="R232" s="2">
        <f t="shared" si="247"/>
        <v>2.5151761983748244E-2</v>
      </c>
      <c r="S232" s="3"/>
    </row>
    <row r="233" spans="3:19" x14ac:dyDescent="0.25">
      <c r="C233" s="1">
        <f t="shared" si="210"/>
        <v>43695</v>
      </c>
      <c r="D233">
        <v>61999</v>
      </c>
      <c r="E233">
        <v>37143</v>
      </c>
      <c r="F233">
        <v>25394</v>
      </c>
      <c r="G233">
        <v>19817</v>
      </c>
      <c r="H233">
        <f>'Total Traffic'!D231-'Page Sessions'!D233</f>
        <v>68913</v>
      </c>
      <c r="I233" s="2">
        <f t="shared" si="205"/>
        <v>0.31963418764818785</v>
      </c>
      <c r="J233" s="2">
        <f t="shared" si="217"/>
        <v>-9.9684415225241851E-3</v>
      </c>
      <c r="K233" s="2">
        <f>D233/'Total Traffic'!D231</f>
        <v>0.47359294793449036</v>
      </c>
      <c r="L233" s="5">
        <f t="shared" si="206"/>
        <v>0.59909030790819207</v>
      </c>
      <c r="M233" s="5">
        <f t="shared" si="207"/>
        <v>0.68368198583851603</v>
      </c>
      <c r="N233" s="5">
        <f t="shared" si="208"/>
        <v>0.78038119240765536</v>
      </c>
      <c r="O233" s="5">
        <f t="shared" si="218"/>
        <v>-3.4270594082570605E-2</v>
      </c>
      <c r="P233" s="2">
        <f t="shared" ref="P233:R233" si="248">(L233/L226)-1</f>
        <v>3.2748649874623226E-2</v>
      </c>
      <c r="Q233" s="2">
        <f t="shared" si="248"/>
        <v>-2.2322073668883169E-2</v>
      </c>
      <c r="R233" s="2">
        <f t="shared" si="248"/>
        <v>-1.9475177234382413E-2</v>
      </c>
      <c r="S233" s="3"/>
    </row>
    <row r="234" spans="3:19" x14ac:dyDescent="0.25">
      <c r="C234" s="1">
        <f t="shared" si="210"/>
        <v>43696</v>
      </c>
      <c r="D234">
        <v>63631</v>
      </c>
      <c r="E234">
        <v>36867</v>
      </c>
      <c r="F234">
        <v>25401</v>
      </c>
      <c r="G234">
        <v>19914</v>
      </c>
      <c r="H234">
        <f>'Total Traffic'!D232-'Page Sessions'!D234</f>
        <v>67271</v>
      </c>
      <c r="I234" s="2">
        <f t="shared" si="205"/>
        <v>0.31296066382737975</v>
      </c>
      <c r="J234" s="2">
        <f t="shared" si="217"/>
        <v>1.631770333098248E-2</v>
      </c>
      <c r="K234" s="2">
        <f>D234/'Total Traffic'!D232</f>
        <v>0.48609646911429927</v>
      </c>
      <c r="L234" s="5">
        <f t="shared" si="206"/>
        <v>0.57938740550989298</v>
      </c>
      <c r="M234" s="5">
        <f t="shared" si="207"/>
        <v>0.68899015379607775</v>
      </c>
      <c r="N234" s="5">
        <f t="shared" si="208"/>
        <v>0.78398488248494158</v>
      </c>
      <c r="O234" s="5">
        <f t="shared" si="218"/>
        <v>-3.074978171767162E-3</v>
      </c>
      <c r="P234" s="2">
        <f t="shared" ref="P234:R234" si="249">(L234/L227)-1</f>
        <v>-1.246227644874498E-2</v>
      </c>
      <c r="Q234" s="2">
        <f t="shared" si="249"/>
        <v>1.2352647768697489E-2</v>
      </c>
      <c r="R234" s="2">
        <f t="shared" si="249"/>
        <v>1.6585645614138E-2</v>
      </c>
      <c r="S234" s="3"/>
    </row>
    <row r="235" spans="3:19" x14ac:dyDescent="0.25">
      <c r="C235" s="1">
        <f t="shared" si="210"/>
        <v>43697</v>
      </c>
      <c r="D235">
        <v>62224</v>
      </c>
      <c r="E235">
        <v>36593</v>
      </c>
      <c r="F235">
        <v>25600</v>
      </c>
      <c r="G235">
        <v>20472</v>
      </c>
      <c r="H235">
        <f>'Total Traffic'!D233-'Page Sessions'!D235</f>
        <v>68308</v>
      </c>
      <c r="I235" s="2">
        <f t="shared" si="205"/>
        <v>0.32900488557469787</v>
      </c>
      <c r="J235" s="2">
        <f t="shared" si="217"/>
        <v>4.1454796532534921E-2</v>
      </c>
      <c r="K235" s="2">
        <f>D235/'Total Traffic'!D233</f>
        <v>0.47669536971777038</v>
      </c>
      <c r="L235" s="5">
        <f t="shared" si="206"/>
        <v>0.58808498328619185</v>
      </c>
      <c r="M235" s="5">
        <f t="shared" si="207"/>
        <v>0.69958735277238815</v>
      </c>
      <c r="N235" s="5">
        <f t="shared" si="208"/>
        <v>0.7996875</v>
      </c>
      <c r="O235" s="5">
        <f t="shared" si="218"/>
        <v>-4.2546355625616705E-4</v>
      </c>
      <c r="P235" s="2">
        <f t="shared" ref="P235:R235" si="250">(L235/L228)-1</f>
        <v>5.629368803994339E-3</v>
      </c>
      <c r="Q235" s="2">
        <f t="shared" si="250"/>
        <v>1.568787327965615E-2</v>
      </c>
      <c r="R235" s="2">
        <f t="shared" si="250"/>
        <v>1.962907047852025E-2</v>
      </c>
      <c r="S235" s="3"/>
    </row>
    <row r="236" spans="3:19" x14ac:dyDescent="0.25">
      <c r="C236" s="1">
        <f t="shared" si="210"/>
        <v>43698</v>
      </c>
      <c r="D236">
        <v>65227</v>
      </c>
      <c r="E236">
        <v>39025</v>
      </c>
      <c r="F236">
        <v>26950</v>
      </c>
      <c r="G236">
        <v>21209</v>
      </c>
      <c r="H236">
        <f>'Total Traffic'!D234-'Page Sessions'!D236</f>
        <v>65542</v>
      </c>
      <c r="I236" s="2">
        <f t="shared" si="205"/>
        <v>0.32515676023732504</v>
      </c>
      <c r="J236" s="2">
        <f t="shared" si="217"/>
        <v>-1.2888172904276463E-2</v>
      </c>
      <c r="K236" s="2">
        <f>D236/'Total Traffic'!D234</f>
        <v>0.49879558610985786</v>
      </c>
      <c r="L236" s="5">
        <f t="shared" si="206"/>
        <v>0.59829518450948227</v>
      </c>
      <c r="M236" s="5">
        <f t="shared" si="207"/>
        <v>0.6905829596412556</v>
      </c>
      <c r="N236" s="5">
        <f t="shared" si="208"/>
        <v>0.78697588126159557</v>
      </c>
      <c r="O236" s="5">
        <f t="shared" si="218"/>
        <v>2.4048810487597994E-3</v>
      </c>
      <c r="P236" s="2">
        <f t="shared" ref="P236:R236" si="251">(L236/L229)-1</f>
        <v>1.859086619822925E-3</v>
      </c>
      <c r="Q236" s="2">
        <f t="shared" si="251"/>
        <v>1.4267251010113835E-3</v>
      </c>
      <c r="R236" s="2">
        <f t="shared" si="251"/>
        <v>-1.6123615100809507E-2</v>
      </c>
      <c r="S236" s="3"/>
    </row>
    <row r="237" spans="3:19" x14ac:dyDescent="0.25">
      <c r="C237" s="1">
        <f t="shared" si="210"/>
        <v>43699</v>
      </c>
      <c r="D237">
        <v>61340</v>
      </c>
      <c r="E237">
        <v>36601</v>
      </c>
      <c r="F237">
        <v>25368</v>
      </c>
      <c r="G237">
        <v>19812</v>
      </c>
      <c r="H237">
        <f>'Total Traffic'!D235-'Page Sessions'!D237</f>
        <v>69172</v>
      </c>
      <c r="I237" s="2">
        <f t="shared" si="205"/>
        <v>0.32298663188783827</v>
      </c>
      <c r="J237" s="2">
        <f t="shared" si="217"/>
        <v>3.808500928431946E-2</v>
      </c>
      <c r="K237" s="2">
        <f>D237/'Total Traffic'!D235</f>
        <v>0.46999509623636143</v>
      </c>
      <c r="L237" s="5">
        <f t="shared" si="206"/>
        <v>0.59669057711118356</v>
      </c>
      <c r="M237" s="5">
        <f t="shared" si="207"/>
        <v>0.69309581705417889</v>
      </c>
      <c r="N237" s="5">
        <f t="shared" si="208"/>
        <v>0.78098391674550616</v>
      </c>
      <c r="O237" s="5">
        <f t="shared" si="218"/>
        <v>-4.247419902939531E-3</v>
      </c>
      <c r="P237" s="2">
        <f t="shared" ref="P237:R237" si="252">(L237/L230)-1</f>
        <v>4.11703534094916E-2</v>
      </c>
      <c r="Q237" s="2">
        <f t="shared" si="252"/>
        <v>-3.8819948686190653E-3</v>
      </c>
      <c r="R237" s="2">
        <f t="shared" si="252"/>
        <v>9.2223269482771819E-4</v>
      </c>
      <c r="S237" s="3"/>
    </row>
    <row r="238" spans="3:19" x14ac:dyDescent="0.25">
      <c r="C238" s="1">
        <f t="shared" si="210"/>
        <v>43700</v>
      </c>
      <c r="D238">
        <v>65107</v>
      </c>
      <c r="E238">
        <v>37690</v>
      </c>
      <c r="F238">
        <v>25859</v>
      </c>
      <c r="G238">
        <v>20141</v>
      </c>
      <c r="H238">
        <f>'Total Traffic'!D236-'Page Sessions'!D238</f>
        <v>65710</v>
      </c>
      <c r="I238" s="2">
        <f t="shared" si="205"/>
        <v>0.30935229698803507</v>
      </c>
      <c r="J238" s="2">
        <f t="shared" si="217"/>
        <v>-3.4734051890249695E-2</v>
      </c>
      <c r="K238" s="2">
        <f>D238/'Total Traffic'!D236</f>
        <v>0.49769525367498108</v>
      </c>
      <c r="L238" s="5">
        <f t="shared" si="206"/>
        <v>0.5788932065676502</v>
      </c>
      <c r="M238" s="5">
        <f t="shared" si="207"/>
        <v>0.68609710798620327</v>
      </c>
      <c r="N238" s="5">
        <f t="shared" si="208"/>
        <v>0.7788777601608724</v>
      </c>
      <c r="O238" s="5">
        <f t="shared" si="218"/>
        <v>7.9973868551030947E-4</v>
      </c>
      <c r="P238" s="2">
        <f t="shared" ref="P238:R238" si="253">(L238/L231)-1</f>
        <v>-2.8527825973405418E-2</v>
      </c>
      <c r="Q238" s="2">
        <f t="shared" si="253"/>
        <v>1.1365507290070243E-2</v>
      </c>
      <c r="R238" s="2">
        <f t="shared" si="253"/>
        <v>-1.7554467092691595E-2</v>
      </c>
      <c r="S238" s="3"/>
    </row>
    <row r="239" spans="3:19" x14ac:dyDescent="0.25">
      <c r="C239" s="1">
        <f t="shared" si="210"/>
        <v>43701</v>
      </c>
      <c r="D239">
        <v>64248</v>
      </c>
      <c r="E239">
        <v>37334</v>
      </c>
      <c r="F239">
        <v>25051</v>
      </c>
      <c r="G239">
        <v>19877</v>
      </c>
      <c r="H239">
        <f>'Total Traffic'!D237-'Page Sessions'!D239</f>
        <v>65862</v>
      </c>
      <c r="I239" s="2">
        <f t="shared" si="205"/>
        <v>0.30937928028888056</v>
      </c>
      <c r="J239" s="2">
        <f t="shared" si="217"/>
        <v>-1.5409263674846518E-2</v>
      </c>
      <c r="K239" s="2">
        <f>D239/'Total Traffic'!D237</f>
        <v>0.49379755591422642</v>
      </c>
      <c r="L239" s="5">
        <f t="shared" si="206"/>
        <v>0.58109201842858926</v>
      </c>
      <c r="M239" s="5">
        <f t="shared" si="207"/>
        <v>0.67099694648309849</v>
      </c>
      <c r="N239" s="5">
        <f t="shared" si="208"/>
        <v>0.79346133886870784</v>
      </c>
      <c r="O239" s="5">
        <f t="shared" si="218"/>
        <v>1.4176653454772925E-2</v>
      </c>
      <c r="P239" s="2">
        <f t="shared" ref="P239:R239" si="254">(L239/L232)-1</f>
        <v>1.7257007579949413E-3</v>
      </c>
      <c r="Q239" s="2">
        <f t="shared" si="254"/>
        <v>-1.9423031824206238E-2</v>
      </c>
      <c r="R239" s="2">
        <f t="shared" si="254"/>
        <v>2.3634924610069774E-3</v>
      </c>
      <c r="S239" s="3"/>
    </row>
    <row r="240" spans="3:19" x14ac:dyDescent="0.25">
      <c r="C240" s="1">
        <f t="shared" si="210"/>
        <v>43702</v>
      </c>
      <c r="D240">
        <v>62829</v>
      </c>
      <c r="E240">
        <v>36132</v>
      </c>
      <c r="F240">
        <v>24280</v>
      </c>
      <c r="G240">
        <v>18695</v>
      </c>
      <c r="H240">
        <f>'Total Traffic'!D238-'Page Sessions'!D240</f>
        <v>67740</v>
      </c>
      <c r="I240" s="2">
        <f t="shared" si="205"/>
        <v>0.29755367744194561</v>
      </c>
      <c r="J240" s="2">
        <f t="shared" si="217"/>
        <v>-6.9080564781592191E-2</v>
      </c>
      <c r="K240" s="2">
        <f>D240/'Total Traffic'!D238</f>
        <v>0.48119385152677896</v>
      </c>
      <c r="L240" s="5">
        <f t="shared" si="206"/>
        <v>0.57508475385570357</v>
      </c>
      <c r="M240" s="5">
        <f t="shared" si="207"/>
        <v>0.67198051588619512</v>
      </c>
      <c r="N240" s="5">
        <f t="shared" si="208"/>
        <v>0.76997528830313011</v>
      </c>
      <c r="O240" s="5">
        <f t="shared" si="218"/>
        <v>1.6049444201901464E-2</v>
      </c>
      <c r="P240" s="2">
        <f t="shared" ref="P240:R240" si="255">(L240/L233)-1</f>
        <v>-4.0070009038048471E-2</v>
      </c>
      <c r="Q240" s="2">
        <f t="shared" si="255"/>
        <v>-1.7115369710918205E-2</v>
      </c>
      <c r="R240" s="2">
        <f t="shared" si="255"/>
        <v>-1.3334386074093652E-2</v>
      </c>
      <c r="S240" s="3"/>
    </row>
    <row r="241" spans="3:19" x14ac:dyDescent="0.25">
      <c r="C241" s="1">
        <f t="shared" si="210"/>
        <v>43703</v>
      </c>
      <c r="D241">
        <v>62375</v>
      </c>
      <c r="E241">
        <v>37000</v>
      </c>
      <c r="F241">
        <v>25851</v>
      </c>
      <c r="G241">
        <v>19913</v>
      </c>
      <c r="H241">
        <f>'Total Traffic'!D239-'Page Sessions'!D241</f>
        <v>68200</v>
      </c>
      <c r="I241" s="2">
        <f t="shared" si="205"/>
        <v>0.31924649298597196</v>
      </c>
      <c r="J241" s="2">
        <f t="shared" si="217"/>
        <v>2.008504545497547E-2</v>
      </c>
      <c r="K241" s="2">
        <f>D241/'Total Traffic'!D239</f>
        <v>0.47769481141106646</v>
      </c>
      <c r="L241" s="5">
        <f t="shared" si="206"/>
        <v>0.59318637274549102</v>
      </c>
      <c r="M241" s="5">
        <f t="shared" si="207"/>
        <v>0.69867567567567568</v>
      </c>
      <c r="N241" s="5">
        <f t="shared" si="208"/>
        <v>0.77029902131445593</v>
      </c>
      <c r="O241" s="5">
        <f t="shared" si="218"/>
        <v>-1.7283930736096909E-2</v>
      </c>
      <c r="P241" s="2">
        <f t="shared" ref="P241:R241" si="256">(L241/L234)-1</f>
        <v>2.3816477721765761E-2</v>
      </c>
      <c r="Q241" s="2">
        <f t="shared" si="256"/>
        <v>1.4057562109174304E-2</v>
      </c>
      <c r="R241" s="2">
        <f t="shared" si="256"/>
        <v>-1.7456792185974956E-2</v>
      </c>
      <c r="S241" s="3"/>
    </row>
    <row r="242" spans="3:19" x14ac:dyDescent="0.25">
      <c r="C242" s="1">
        <f t="shared" si="210"/>
        <v>43704</v>
      </c>
      <c r="D242">
        <v>61588</v>
      </c>
      <c r="E242">
        <v>35653</v>
      </c>
      <c r="F242">
        <v>24693</v>
      </c>
      <c r="G242">
        <v>19087</v>
      </c>
      <c r="H242">
        <f>'Total Traffic'!D240-'Page Sessions'!D242</f>
        <v>68647</v>
      </c>
      <c r="I242" s="2">
        <f t="shared" si="205"/>
        <v>0.30991426901344415</v>
      </c>
      <c r="J242" s="2">
        <f t="shared" si="217"/>
        <v>-5.8025328492939177E-2</v>
      </c>
      <c r="K242" s="2">
        <f>D242/'Total Traffic'!D240</f>
        <v>0.47289899028678928</v>
      </c>
      <c r="L242" s="5">
        <f t="shared" si="206"/>
        <v>0.57889523933233744</v>
      </c>
      <c r="M242" s="5">
        <f t="shared" si="207"/>
        <v>0.6925924887106274</v>
      </c>
      <c r="N242" s="5">
        <f t="shared" si="208"/>
        <v>0.77297209735552586</v>
      </c>
      <c r="O242" s="5">
        <f t="shared" si="218"/>
        <v>-7.9639528137828153E-3</v>
      </c>
      <c r="P242" s="2">
        <f t="shared" ref="P242:R242" si="257">(L242/L235)-1</f>
        <v>-1.5626557751062697E-2</v>
      </c>
      <c r="Q242" s="2">
        <f t="shared" si="257"/>
        <v>-9.9985570551567315E-3</v>
      </c>
      <c r="R242" s="2">
        <f t="shared" si="257"/>
        <v>-3.3407303033340052E-2</v>
      </c>
      <c r="S242" s="3"/>
    </row>
    <row r="243" spans="3:19" x14ac:dyDescent="0.25">
      <c r="C243" s="1">
        <f t="shared" si="210"/>
        <v>43705</v>
      </c>
      <c r="D243">
        <v>64321</v>
      </c>
      <c r="E243">
        <v>38277</v>
      </c>
      <c r="F243">
        <v>26089</v>
      </c>
      <c r="G243">
        <v>20508</v>
      </c>
      <c r="H243">
        <f>'Total Traffic'!D241-'Page Sessions'!D243</f>
        <v>66096</v>
      </c>
      <c r="I243" s="2">
        <f t="shared" si="205"/>
        <v>0.31883832651855537</v>
      </c>
      <c r="J243" s="2">
        <f t="shared" si="217"/>
        <v>-1.9431961722579549E-2</v>
      </c>
      <c r="K243" s="2">
        <f>D243/'Total Traffic'!D241</f>
        <v>0.49319490557212631</v>
      </c>
      <c r="L243" s="5">
        <f t="shared" si="206"/>
        <v>0.59509335986691747</v>
      </c>
      <c r="M243" s="5">
        <f t="shared" si="207"/>
        <v>0.68158424118922589</v>
      </c>
      <c r="N243" s="5">
        <f t="shared" si="208"/>
        <v>0.78607842385679794</v>
      </c>
      <c r="O243" s="5">
        <f t="shared" si="218"/>
        <v>-1.1228408377491172E-2</v>
      </c>
      <c r="P243" s="2">
        <f t="shared" ref="P243:R243" si="258">(L243/L236)-1</f>
        <v>-5.3515801655495965E-3</v>
      </c>
      <c r="Q243" s="2">
        <f t="shared" si="258"/>
        <v>-1.3030611784432655E-2</v>
      </c>
      <c r="R243" s="2">
        <f t="shared" si="258"/>
        <v>-1.140387432660428E-3</v>
      </c>
      <c r="S243" s="3"/>
    </row>
    <row r="244" spans="3:19" x14ac:dyDescent="0.25">
      <c r="C244" s="1">
        <f t="shared" si="210"/>
        <v>43706</v>
      </c>
      <c r="D244">
        <v>64811</v>
      </c>
      <c r="E244">
        <v>37363</v>
      </c>
      <c r="F244">
        <v>25761</v>
      </c>
      <c r="G244">
        <v>19962</v>
      </c>
      <c r="H244">
        <f>'Total Traffic'!D242-'Page Sessions'!D244</f>
        <v>66122</v>
      </c>
      <c r="I244" s="2">
        <f t="shared" si="205"/>
        <v>0.30800327104966752</v>
      </c>
      <c r="J244" s="2">
        <f t="shared" si="217"/>
        <v>-4.639003401036712E-2</v>
      </c>
      <c r="K244" s="2">
        <f>D244/'Total Traffic'!D242</f>
        <v>0.49499362269252212</v>
      </c>
      <c r="L244" s="5">
        <f t="shared" si="206"/>
        <v>0.57649164493681626</v>
      </c>
      <c r="M244" s="5">
        <f t="shared" si="207"/>
        <v>0.68947889623424241</v>
      </c>
      <c r="N244" s="5">
        <f t="shared" si="208"/>
        <v>0.77489227902643532</v>
      </c>
      <c r="O244" s="5">
        <f t="shared" si="218"/>
        <v>5.3188909110636562E-2</v>
      </c>
      <c r="P244" s="2">
        <f t="shared" ref="P244:R244" si="259">(L244/L237)-1</f>
        <v>-3.3851602403641712E-2</v>
      </c>
      <c r="Q244" s="2">
        <f t="shared" si="259"/>
        <v>-5.2185004308772376E-3</v>
      </c>
      <c r="R244" s="2">
        <f t="shared" si="259"/>
        <v>-7.7999528395613638E-3</v>
      </c>
      <c r="S244" s="3"/>
    </row>
    <row r="245" spans="3:19" x14ac:dyDescent="0.25">
      <c r="C245" s="1">
        <f t="shared" si="210"/>
        <v>43707</v>
      </c>
      <c r="D245">
        <v>64234</v>
      </c>
      <c r="E245">
        <v>37159</v>
      </c>
      <c r="F245">
        <v>25152</v>
      </c>
      <c r="G245">
        <v>20023</v>
      </c>
      <c r="H245">
        <f>'Total Traffic'!D243-'Page Sessions'!D245</f>
        <v>66218</v>
      </c>
      <c r="I245" s="2">
        <f t="shared" si="205"/>
        <v>0.31171965002957935</v>
      </c>
      <c r="J245" s="2">
        <f t="shared" si="217"/>
        <v>7.6526118105268992E-3</v>
      </c>
      <c r="K245" s="2">
        <f>D245/'Total Traffic'!D243</f>
        <v>0.49239567043816884</v>
      </c>
      <c r="L245" s="5">
        <f t="shared" si="206"/>
        <v>0.57849425537877142</v>
      </c>
      <c r="M245" s="5">
        <f t="shared" si="207"/>
        <v>0.676875050458839</v>
      </c>
      <c r="N245" s="5">
        <f t="shared" si="208"/>
        <v>0.79607983460559795</v>
      </c>
      <c r="O245" s="5">
        <f t="shared" si="218"/>
        <v>-1.0648249501437057E-2</v>
      </c>
      <c r="P245" s="2">
        <f t="shared" ref="P245:R245" si="260">(L245/L238)-1</f>
        <v>-6.8916198074642221E-4</v>
      </c>
      <c r="Q245" s="2">
        <f t="shared" si="260"/>
        <v>-1.3441329835119697E-2</v>
      </c>
      <c r="R245" s="2">
        <f t="shared" si="260"/>
        <v>2.2085717842518227E-2</v>
      </c>
      <c r="S245" s="3"/>
    </row>
    <row r="246" spans="3:19" x14ac:dyDescent="0.25">
      <c r="C246" s="1">
        <f t="shared" si="210"/>
        <v>43708</v>
      </c>
      <c r="D246">
        <v>62329</v>
      </c>
      <c r="E246">
        <v>36605</v>
      </c>
      <c r="F246">
        <v>25451</v>
      </c>
      <c r="G246">
        <v>19808</v>
      </c>
      <c r="H246">
        <f>'Total Traffic'!D244-'Page Sessions'!D246</f>
        <v>68533</v>
      </c>
      <c r="I246" s="2">
        <f t="shared" si="205"/>
        <v>0.31779749394342921</v>
      </c>
      <c r="J246" s="2">
        <f t="shared" si="217"/>
        <v>2.7210011112212218E-2</v>
      </c>
      <c r="K246" s="2">
        <f>D246/'Total Traffic'!D244</f>
        <v>0.47629563968149652</v>
      </c>
      <c r="L246" s="5">
        <f t="shared" si="206"/>
        <v>0.58728681673057481</v>
      </c>
      <c r="M246" s="5">
        <f t="shared" si="207"/>
        <v>0.69528752902608937</v>
      </c>
      <c r="N246" s="5">
        <f t="shared" si="208"/>
        <v>0.77827983183371974</v>
      </c>
      <c r="O246" s="5">
        <f t="shared" si="218"/>
        <v>-3.5443505183670898E-2</v>
      </c>
      <c r="P246" s="2">
        <f t="shared" ref="P246:R246" si="261">(L246/L239)-1</f>
        <v>1.0660615023998732E-2</v>
      </c>
      <c r="Q246" s="2">
        <f t="shared" si="261"/>
        <v>3.6200734847312344E-2</v>
      </c>
      <c r="R246" s="2">
        <f t="shared" si="261"/>
        <v>-1.9133266223951617E-2</v>
      </c>
      <c r="S246" s="3"/>
    </row>
    <row r="247" spans="3:19" x14ac:dyDescent="0.25">
      <c r="C247" s="1">
        <f t="shared" si="210"/>
        <v>43709</v>
      </c>
      <c r="D247">
        <v>65120</v>
      </c>
      <c r="E247">
        <v>38694</v>
      </c>
      <c r="F247">
        <v>26706</v>
      </c>
      <c r="G247">
        <v>21046</v>
      </c>
      <c r="H247">
        <f>'Total Traffic'!D245-'Page Sessions'!D247</f>
        <v>65277</v>
      </c>
      <c r="I247" s="2">
        <f t="shared" si="205"/>
        <v>0.32318796068796068</v>
      </c>
      <c r="J247" s="2">
        <f t="shared" si="217"/>
        <v>8.6150114044604598E-2</v>
      </c>
      <c r="K247" s="2">
        <f>D247/'Total Traffic'!D245</f>
        <v>0.49939799228509857</v>
      </c>
      <c r="L247" s="5">
        <f t="shared" si="206"/>
        <v>0.59419533169533167</v>
      </c>
      <c r="M247" s="5">
        <f t="shared" si="207"/>
        <v>0.69018452473251668</v>
      </c>
      <c r="N247" s="5">
        <f t="shared" si="208"/>
        <v>0.78806260765371072</v>
      </c>
      <c r="O247" s="5">
        <f t="shared" si="218"/>
        <v>3.7831199838816998E-2</v>
      </c>
      <c r="P247" s="2">
        <f t="shared" ref="P247:R247" si="262">(L247/L240)-1</f>
        <v>3.3230889380216899E-2</v>
      </c>
      <c r="Q247" s="2">
        <f t="shared" si="262"/>
        <v>2.7090084334237652E-2</v>
      </c>
      <c r="R247" s="2">
        <f t="shared" si="262"/>
        <v>2.3490779022845576E-2</v>
      </c>
      <c r="S247" s="3"/>
    </row>
    <row r="248" spans="3:19" x14ac:dyDescent="0.25">
      <c r="C248" s="1">
        <f t="shared" si="210"/>
        <v>43710</v>
      </c>
      <c r="D248">
        <v>62854</v>
      </c>
      <c r="E248">
        <v>36757</v>
      </c>
      <c r="F248">
        <v>25391</v>
      </c>
      <c r="G248">
        <v>19634</v>
      </c>
      <c r="H248">
        <f>'Total Traffic'!D246-'Page Sessions'!D248</f>
        <v>67468</v>
      </c>
      <c r="I248" s="2">
        <f t="shared" si="205"/>
        <v>0.31237470964457315</v>
      </c>
      <c r="J248" s="2">
        <f t="shared" si="217"/>
        <v>-2.1525008081140551E-2</v>
      </c>
      <c r="K248" s="2">
        <f>D248/'Total Traffic'!D246</f>
        <v>0.48229769340556466</v>
      </c>
      <c r="L248" s="5">
        <f t="shared" si="206"/>
        <v>0.5847996945301811</v>
      </c>
      <c r="M248" s="5">
        <f t="shared" si="207"/>
        <v>0.69077998748537695</v>
      </c>
      <c r="N248" s="5">
        <f t="shared" si="208"/>
        <v>0.77326611791579691</v>
      </c>
      <c r="O248" s="5">
        <f t="shared" si="218"/>
        <v>9.635612287480555E-3</v>
      </c>
      <c r="P248" s="2">
        <f t="shared" ref="P248:R248" si="263">(L248/L241)-1</f>
        <v>-1.4138352802161025E-2</v>
      </c>
      <c r="Q248" s="2">
        <f t="shared" si="263"/>
        <v>-1.1300934704307486E-2</v>
      </c>
      <c r="R248" s="2">
        <f t="shared" si="263"/>
        <v>3.8518763742914075E-3</v>
      </c>
      <c r="S248" s="3"/>
    </row>
    <row r="249" spans="3:19" x14ac:dyDescent="0.25">
      <c r="C249" s="1">
        <f t="shared" si="210"/>
        <v>43711</v>
      </c>
      <c r="D249">
        <v>62692</v>
      </c>
      <c r="E249">
        <v>36405</v>
      </c>
      <c r="F249">
        <v>25407</v>
      </c>
      <c r="G249">
        <v>19919</v>
      </c>
      <c r="H249">
        <f>'Total Traffic'!D247-'Page Sessions'!D249</f>
        <v>68026</v>
      </c>
      <c r="I249" s="2">
        <f t="shared" si="205"/>
        <v>0.31772793976902952</v>
      </c>
      <c r="J249" s="2">
        <f t="shared" si="217"/>
        <v>2.5212362052443593E-2</v>
      </c>
      <c r="K249" s="2">
        <f>D249/'Total Traffic'!D247</f>
        <v>0.47959730106029774</v>
      </c>
      <c r="L249" s="5">
        <f t="shared" si="206"/>
        <v>0.58069610157595863</v>
      </c>
      <c r="M249" s="5">
        <f t="shared" si="207"/>
        <v>0.6978986402966626</v>
      </c>
      <c r="N249" s="5">
        <f t="shared" si="208"/>
        <v>0.78399653638760969</v>
      </c>
      <c r="O249" s="5">
        <f t="shared" si="218"/>
        <v>1.4164358374811226E-2</v>
      </c>
      <c r="P249" s="2">
        <f t="shared" ref="P249:R249" si="264">(L249/L242)-1</f>
        <v>3.1108603444349736E-3</v>
      </c>
      <c r="Q249" s="2">
        <f t="shared" si="264"/>
        <v>7.6612895353709298E-3</v>
      </c>
      <c r="R249" s="2">
        <f t="shared" si="264"/>
        <v>1.4262402316720602E-2</v>
      </c>
      <c r="S249" s="3"/>
    </row>
    <row r="250" spans="3:19" x14ac:dyDescent="0.25">
      <c r="C250" s="1">
        <f t="shared" si="210"/>
        <v>43712</v>
      </c>
      <c r="D250">
        <v>64929</v>
      </c>
      <c r="E250">
        <v>37217</v>
      </c>
      <c r="F250">
        <v>25594</v>
      </c>
      <c r="G250">
        <v>20191</v>
      </c>
      <c r="H250">
        <f>'Total Traffic'!D248-'Page Sessions'!D250</f>
        <v>65636</v>
      </c>
      <c r="I250" s="2">
        <f t="shared" si="205"/>
        <v>0.31097044463952933</v>
      </c>
      <c r="J250" s="2">
        <f t="shared" si="217"/>
        <v>-2.467671300667218E-2</v>
      </c>
      <c r="K250" s="2">
        <f>D250/'Total Traffic'!D248</f>
        <v>0.49729253628460918</v>
      </c>
      <c r="L250" s="5">
        <f t="shared" si="206"/>
        <v>0.57319533644442389</v>
      </c>
      <c r="M250" s="5">
        <f t="shared" si="207"/>
        <v>0.68769648279012274</v>
      </c>
      <c r="N250" s="5">
        <f t="shared" si="208"/>
        <v>0.7888958349613191</v>
      </c>
      <c r="O250" s="5">
        <f t="shared" si="218"/>
        <v>8.3083394945644429E-3</v>
      </c>
      <c r="P250" s="2">
        <f t="shared" ref="P250:R250" si="265">(L250/L243)-1</f>
        <v>-3.6797626892342894E-2</v>
      </c>
      <c r="Q250" s="2">
        <f t="shared" si="265"/>
        <v>8.9676979476993601E-3</v>
      </c>
      <c r="R250" s="2">
        <f t="shared" si="265"/>
        <v>3.5841348891092473E-3</v>
      </c>
      <c r="S250" s="3"/>
    </row>
    <row r="251" spans="3:19" x14ac:dyDescent="0.25">
      <c r="C251" s="1">
        <f t="shared" si="210"/>
        <v>43713</v>
      </c>
      <c r="D251">
        <v>62514</v>
      </c>
      <c r="E251">
        <v>36870</v>
      </c>
      <c r="F251">
        <v>25550</v>
      </c>
      <c r="G251">
        <v>20419</v>
      </c>
      <c r="H251">
        <f>'Total Traffic'!D249-'Page Sessions'!D251</f>
        <v>68023</v>
      </c>
      <c r="I251" s="2">
        <f t="shared" si="205"/>
        <v>0.32663083469302878</v>
      </c>
      <c r="J251" s="2">
        <f t="shared" si="217"/>
        <v>6.047846043932914E-2</v>
      </c>
      <c r="K251" s="2">
        <f>D251/'Total Traffic'!D249</f>
        <v>0.47889870304971005</v>
      </c>
      <c r="L251" s="5">
        <f t="shared" si="206"/>
        <v>0.589787887513197</v>
      </c>
      <c r="M251" s="5">
        <f t="shared" si="207"/>
        <v>0.69297531868727968</v>
      </c>
      <c r="N251" s="5">
        <f t="shared" si="208"/>
        <v>0.79917808219178077</v>
      </c>
      <c r="O251" s="5">
        <f t="shared" si="218"/>
        <v>-3.2515408088014564E-2</v>
      </c>
      <c r="P251" s="2">
        <f t="shared" ref="P251:R251" si="266">(L251/L244)-1</f>
        <v>2.3064068132050641E-2</v>
      </c>
      <c r="Q251" s="2">
        <f t="shared" si="266"/>
        <v>5.0711087346311245E-3</v>
      </c>
      <c r="R251" s="2">
        <f t="shared" si="266"/>
        <v>3.1340876432344622E-2</v>
      </c>
      <c r="S251" s="3"/>
    </row>
    <row r="252" spans="3:19" x14ac:dyDescent="0.25">
      <c r="C252" s="1">
        <f t="shared" si="210"/>
        <v>43714</v>
      </c>
      <c r="D252">
        <v>61512</v>
      </c>
      <c r="E252">
        <v>36095</v>
      </c>
      <c r="F252">
        <v>24241</v>
      </c>
      <c r="G252">
        <v>18847</v>
      </c>
      <c r="H252">
        <f>'Total Traffic'!D250-'Page Sessions'!D252</f>
        <v>68590</v>
      </c>
      <c r="I252" s="2">
        <f t="shared" si="205"/>
        <v>0.30639550006502797</v>
      </c>
      <c r="J252" s="2">
        <f t="shared" si="217"/>
        <v>-1.7079930521050501E-2</v>
      </c>
      <c r="K252" s="2">
        <f>D252/'Total Traffic'!D250</f>
        <v>0.47279826597592656</v>
      </c>
      <c r="L252" s="5">
        <f t="shared" si="206"/>
        <v>0.58679607231109376</v>
      </c>
      <c r="M252" s="5">
        <f t="shared" si="207"/>
        <v>0.67158886272336893</v>
      </c>
      <c r="N252" s="5">
        <f t="shared" si="208"/>
        <v>0.77748442721009858</v>
      </c>
      <c r="O252" s="5">
        <f t="shared" si="218"/>
        <v>-3.9800115311337203E-2</v>
      </c>
      <c r="P252" s="2">
        <f t="shared" ref="P252:R252" si="267">(L252/L245)-1</f>
        <v>1.4350733572776386E-2</v>
      </c>
      <c r="Q252" s="2">
        <f t="shared" si="267"/>
        <v>-7.8096950565494927E-3</v>
      </c>
      <c r="R252" s="2">
        <f t="shared" si="267"/>
        <v>-2.3358721810497918E-2</v>
      </c>
      <c r="S252" s="3"/>
    </row>
    <row r="253" spans="3:19" x14ac:dyDescent="0.25">
      <c r="C253" s="1">
        <f t="shared" si="210"/>
        <v>43715</v>
      </c>
      <c r="D253">
        <v>64638</v>
      </c>
      <c r="E253">
        <v>38362</v>
      </c>
      <c r="F253">
        <v>26170</v>
      </c>
      <c r="G253">
        <v>20844</v>
      </c>
      <c r="H253">
        <f>'Total Traffic'!D251-'Page Sessions'!D253</f>
        <v>66182</v>
      </c>
      <c r="I253" s="2">
        <f t="shared" si="205"/>
        <v>0.32247284878863824</v>
      </c>
      <c r="J253" s="2">
        <f t="shared" si="217"/>
        <v>1.4711742333755717E-2</v>
      </c>
      <c r="K253" s="2">
        <f>D253/'Total Traffic'!D251</f>
        <v>0.49409876165723893</v>
      </c>
      <c r="L253" s="5">
        <f t="shared" si="206"/>
        <v>0.59348989758346482</v>
      </c>
      <c r="M253" s="5">
        <f t="shared" si="207"/>
        <v>0.68218549606381318</v>
      </c>
      <c r="N253" s="5">
        <f t="shared" si="208"/>
        <v>0.79648452426442495</v>
      </c>
      <c r="O253" s="5">
        <f t="shared" si="218"/>
        <v>3.7378301400465386E-2</v>
      </c>
      <c r="P253" s="2">
        <f t="shared" ref="P253:R253" si="268">(L253/L246)-1</f>
        <v>1.05622681731945E-2</v>
      </c>
      <c r="Q253" s="2">
        <f t="shared" si="268"/>
        <v>-1.8844050001340595E-2</v>
      </c>
      <c r="R253" s="2">
        <f t="shared" si="268"/>
        <v>2.3390934322186974E-2</v>
      </c>
      <c r="S253" s="3"/>
    </row>
    <row r="254" spans="3:19" x14ac:dyDescent="0.25">
      <c r="C254" s="1">
        <f t="shared" si="210"/>
        <v>43716</v>
      </c>
      <c r="D254">
        <v>62551</v>
      </c>
      <c r="E254">
        <v>36779</v>
      </c>
      <c r="F254">
        <v>25384</v>
      </c>
      <c r="G254">
        <v>19842</v>
      </c>
      <c r="H254">
        <f>'Total Traffic'!D252-'Page Sessions'!D254</f>
        <v>68447</v>
      </c>
      <c r="I254" s="2">
        <f t="shared" si="205"/>
        <v>0.31721315406628192</v>
      </c>
      <c r="J254" s="2">
        <f t="shared" si="217"/>
        <v>-1.8487095277189058E-2</v>
      </c>
      <c r="K254" s="2">
        <f>D254/'Total Traffic'!D252</f>
        <v>0.4774958396311394</v>
      </c>
      <c r="L254" s="5">
        <f t="shared" si="206"/>
        <v>0.58798420488881076</v>
      </c>
      <c r="M254" s="5">
        <f t="shared" si="207"/>
        <v>0.6901764593925882</v>
      </c>
      <c r="N254" s="5">
        <f t="shared" si="208"/>
        <v>0.78167349511503315</v>
      </c>
      <c r="O254" s="5">
        <f t="shared" si="218"/>
        <v>-4.3857109944998696E-2</v>
      </c>
      <c r="P254" s="2">
        <f t="shared" ref="P254:R254" si="269">(L254/L247)-1</f>
        <v>-1.0453005056097586E-2</v>
      </c>
      <c r="Q254" s="2">
        <f t="shared" si="269"/>
        <v>-1.168577335397547E-5</v>
      </c>
      <c r="R254" s="2">
        <f t="shared" si="269"/>
        <v>-8.1073666947601986E-3</v>
      </c>
      <c r="S254" s="3"/>
    </row>
    <row r="255" spans="3:19" x14ac:dyDescent="0.25">
      <c r="C255" s="1">
        <f t="shared" si="210"/>
        <v>43717</v>
      </c>
      <c r="D255">
        <v>65319</v>
      </c>
      <c r="E255">
        <v>39132</v>
      </c>
      <c r="F255">
        <v>26590</v>
      </c>
      <c r="G255">
        <v>20761</v>
      </c>
      <c r="H255">
        <f>'Total Traffic'!D253-'Page Sessions'!D255</f>
        <v>65739</v>
      </c>
      <c r="I255" s="2">
        <f t="shared" si="205"/>
        <v>0.31784013839770969</v>
      </c>
      <c r="J255" s="2">
        <f t="shared" si="217"/>
        <v>1.7496386821312271E-2</v>
      </c>
      <c r="K255" s="2">
        <f>D255/'Total Traffic'!D253</f>
        <v>0.49839765599963376</v>
      </c>
      <c r="L255" s="5">
        <f t="shared" si="206"/>
        <v>0.599090616818996</v>
      </c>
      <c r="M255" s="5">
        <f t="shared" si="207"/>
        <v>0.67949504242052539</v>
      </c>
      <c r="N255" s="5">
        <f t="shared" si="208"/>
        <v>0.78078224896577664</v>
      </c>
      <c r="O255" s="5">
        <f t="shared" si="218"/>
        <v>3.3381794717667557E-2</v>
      </c>
      <c r="P255" s="2">
        <f t="shared" ref="P255:R255" si="270">(L255/L248)-1</f>
        <v>2.4437294380422081E-2</v>
      </c>
      <c r="Q255" s="2">
        <f t="shared" si="270"/>
        <v>-1.6336525766954768E-2</v>
      </c>
      <c r="R255" s="2">
        <f t="shared" si="270"/>
        <v>9.7199798049321107E-3</v>
      </c>
      <c r="S255" s="3"/>
    </row>
    <row r="256" spans="3:19" x14ac:dyDescent="0.25">
      <c r="C256" s="1">
        <f t="shared" si="210"/>
        <v>43718</v>
      </c>
      <c r="D256">
        <v>22639</v>
      </c>
      <c r="E256">
        <v>13411</v>
      </c>
      <c r="F256">
        <v>9293</v>
      </c>
      <c r="G256">
        <v>7194</v>
      </c>
      <c r="H256">
        <f>'Total Traffic'!D254-'Page Sessions'!D256</f>
        <v>108195</v>
      </c>
      <c r="I256" s="2">
        <f t="shared" si="205"/>
        <v>0.31777021953266488</v>
      </c>
      <c r="J256" s="2">
        <f t="shared" si="217"/>
        <v>1.3306907685262104E-4</v>
      </c>
      <c r="K256" s="2">
        <f>D256/'Total Traffic'!D254</f>
        <v>0.17303606096274668</v>
      </c>
      <c r="L256" s="5">
        <f t="shared" si="206"/>
        <v>0.5923848226511772</v>
      </c>
      <c r="M256" s="5">
        <f t="shared" si="207"/>
        <v>0.69293863246588616</v>
      </c>
      <c r="N256" s="5">
        <f t="shared" si="208"/>
        <v>0.77413106639406004</v>
      </c>
      <c r="O256" s="5">
        <f t="shared" si="218"/>
        <v>-0.63920551558526895</v>
      </c>
      <c r="P256" s="2">
        <f t="shared" ref="P256:R256" si="271">(L256/L249)-1</f>
        <v>2.012880927475913E-2</v>
      </c>
      <c r="Q256" s="2">
        <f t="shared" si="271"/>
        <v>-7.1070604589056341E-3</v>
      </c>
      <c r="R256" s="2">
        <f t="shared" si="271"/>
        <v>-1.2583563237417383E-2</v>
      </c>
      <c r="S256" s="3"/>
    </row>
    <row r="257" spans="3:19" x14ac:dyDescent="0.25">
      <c r="C257" s="1">
        <f t="shared" si="210"/>
        <v>43719</v>
      </c>
      <c r="D257">
        <v>64061</v>
      </c>
      <c r="E257">
        <v>37610</v>
      </c>
      <c r="F257">
        <v>25563</v>
      </c>
      <c r="G257">
        <v>20066</v>
      </c>
      <c r="H257">
        <f>'Total Traffic'!D255-'Page Sessions'!D257</f>
        <v>66225</v>
      </c>
      <c r="I257" s="2">
        <f t="shared" si="205"/>
        <v>0.31323270008273363</v>
      </c>
      <c r="J257" s="2">
        <f t="shared" si="217"/>
        <v>7.274824608578756E-3</v>
      </c>
      <c r="K257" s="2">
        <f>D257/'Total Traffic'!D255</f>
        <v>0.49169519365089109</v>
      </c>
      <c r="L257" s="5">
        <f t="shared" si="206"/>
        <v>0.58709667348308647</v>
      </c>
      <c r="M257" s="5">
        <f t="shared" si="207"/>
        <v>0.6796862536559426</v>
      </c>
      <c r="N257" s="5">
        <f t="shared" si="208"/>
        <v>0.78496264131752924</v>
      </c>
      <c r="O257" s="5">
        <f t="shared" si="218"/>
        <v>-1.1255633707147883E-2</v>
      </c>
      <c r="P257" s="2">
        <f t="shared" ref="P257:R257" si="272">(L257/L250)-1</f>
        <v>2.4252355444644103E-2</v>
      </c>
      <c r="Q257" s="2">
        <f t="shared" si="272"/>
        <v>-1.164791348311256E-2</v>
      </c>
      <c r="R257" s="2">
        <f t="shared" si="272"/>
        <v>-4.9856945232606975E-3</v>
      </c>
      <c r="S257" s="3"/>
    </row>
    <row r="258" spans="3:19" x14ac:dyDescent="0.25">
      <c r="C258" s="1">
        <f t="shared" si="210"/>
        <v>43720</v>
      </c>
      <c r="D258">
        <v>64845</v>
      </c>
      <c r="E258">
        <v>37661</v>
      </c>
      <c r="F258">
        <v>25696</v>
      </c>
      <c r="G258">
        <v>20035</v>
      </c>
      <c r="H258">
        <f>'Total Traffic'!D256-'Page Sessions'!D258</f>
        <v>65839</v>
      </c>
      <c r="I258" s="2">
        <f t="shared" si="205"/>
        <v>0.30896753797517157</v>
      </c>
      <c r="J258" s="2">
        <f t="shared" si="217"/>
        <v>-5.4077248201191308E-2</v>
      </c>
      <c r="K258" s="2">
        <f>D258/'Total Traffic'!D256</f>
        <v>0.4961969330599002</v>
      </c>
      <c r="L258" s="5">
        <f t="shared" si="206"/>
        <v>0.58078494872387998</v>
      </c>
      <c r="M258" s="5">
        <f t="shared" si="207"/>
        <v>0.68229733676747828</v>
      </c>
      <c r="N258" s="5">
        <f t="shared" si="208"/>
        <v>0.77969333748443337</v>
      </c>
      <c r="O258" s="5">
        <f t="shared" si="218"/>
        <v>3.6120853742204861E-2</v>
      </c>
      <c r="P258" s="2">
        <f t="shared" ref="P258:R258" si="273">(L258/L251)-1</f>
        <v>-1.5264706142537721E-2</v>
      </c>
      <c r="Q258" s="2">
        <f t="shared" si="273"/>
        <v>-1.5408892108926708E-2</v>
      </c>
      <c r="R258" s="2">
        <f t="shared" si="273"/>
        <v>-2.4380979836070682E-2</v>
      </c>
      <c r="S258" s="3"/>
    </row>
    <row r="259" spans="3:19" x14ac:dyDescent="0.25">
      <c r="C259" s="1">
        <f t="shared" si="210"/>
        <v>43721</v>
      </c>
      <c r="D259">
        <v>65155</v>
      </c>
      <c r="E259">
        <v>37581</v>
      </c>
      <c r="F259">
        <v>25427</v>
      </c>
      <c r="G259">
        <v>19802</v>
      </c>
      <c r="H259">
        <f>'Total Traffic'!D257-'Page Sessions'!D259</f>
        <v>65155</v>
      </c>
      <c r="I259" s="2">
        <f t="shared" si="205"/>
        <v>0.30392141815670326</v>
      </c>
      <c r="J259" s="2">
        <f t="shared" si="217"/>
        <v>-8.0747984477566037E-3</v>
      </c>
      <c r="K259" s="2">
        <f>D259/'Total Traffic'!D257</f>
        <v>0.5</v>
      </c>
      <c r="L259" s="5">
        <f t="shared" si="206"/>
        <v>0.57679379940142739</v>
      </c>
      <c r="M259" s="5">
        <f t="shared" si="207"/>
        <v>0.67659189484047788</v>
      </c>
      <c r="N259" s="5">
        <f t="shared" si="208"/>
        <v>0.77877846383765292</v>
      </c>
      <c r="O259" s="5">
        <f t="shared" si="218"/>
        <v>5.7533489400442228E-2</v>
      </c>
      <c r="P259" s="2">
        <f t="shared" ref="P259:R259" si="274">(L259/L252)-1</f>
        <v>-1.7045568949145218E-2</v>
      </c>
      <c r="Q259" s="2">
        <f t="shared" si="274"/>
        <v>7.449545986842443E-3</v>
      </c>
      <c r="R259" s="2">
        <f t="shared" si="274"/>
        <v>1.6643891276353351E-3</v>
      </c>
      <c r="S259" s="3"/>
    </row>
    <row r="260" spans="3:19" x14ac:dyDescent="0.25">
      <c r="C260" s="1">
        <f t="shared" si="210"/>
        <v>43722</v>
      </c>
      <c r="D260">
        <v>62266</v>
      </c>
      <c r="E260">
        <v>35641</v>
      </c>
      <c r="F260">
        <v>24161</v>
      </c>
      <c r="G260">
        <v>18753</v>
      </c>
      <c r="H260">
        <f>'Total Traffic'!D258-'Page Sessions'!D260</f>
        <v>68712</v>
      </c>
      <c r="I260" s="2">
        <f t="shared" si="205"/>
        <v>0.30117560145183569</v>
      </c>
      <c r="J260" s="2">
        <f t="shared" si="217"/>
        <v>-6.6043536430447247E-2</v>
      </c>
      <c r="K260" s="2">
        <f>D260/'Total Traffic'!D258</f>
        <v>0.47539281406037653</v>
      </c>
      <c r="L260" s="5">
        <f t="shared" si="206"/>
        <v>0.57239906208845914</v>
      </c>
      <c r="M260" s="5">
        <f t="shared" si="207"/>
        <v>0.6778990488482366</v>
      </c>
      <c r="N260" s="5">
        <f t="shared" si="208"/>
        <v>0.776168204958404</v>
      </c>
      <c r="O260" s="5">
        <f t="shared" si="218"/>
        <v>-3.7858721876010026E-2</v>
      </c>
      <c r="P260" s="2">
        <f t="shared" ref="P260:R260" si="275">(L260/L253)-1</f>
        <v>-3.5536974733490823E-2</v>
      </c>
      <c r="Q260" s="2">
        <f t="shared" si="275"/>
        <v>-6.283404206493981E-3</v>
      </c>
      <c r="R260" s="2">
        <f t="shared" si="275"/>
        <v>-2.5507487825684572E-2</v>
      </c>
      <c r="S260" s="3"/>
    </row>
    <row r="261" spans="3:19" x14ac:dyDescent="0.25">
      <c r="C261" s="1">
        <f t="shared" si="210"/>
        <v>43723</v>
      </c>
      <c r="D261">
        <v>61885</v>
      </c>
      <c r="E261">
        <v>36493</v>
      </c>
      <c r="F261">
        <v>25326</v>
      </c>
      <c r="G261">
        <v>19501</v>
      </c>
      <c r="H261">
        <f>'Total Traffic'!D259-'Page Sessions'!D261</f>
        <v>68318</v>
      </c>
      <c r="I261" s="2">
        <f t="shared" ref="I261:I324" si="276">G261/D261</f>
        <v>0.31511674880827339</v>
      </c>
      <c r="J261" s="2">
        <f t="shared" si="217"/>
        <v>-6.608821958153932E-3</v>
      </c>
      <c r="K261" s="2">
        <f>D261/'Total Traffic'!D259</f>
        <v>0.47529626813514281</v>
      </c>
      <c r="L261" s="5">
        <f t="shared" ref="L261:L324" si="277">E261/D261</f>
        <v>0.58969055506180823</v>
      </c>
      <c r="M261" s="5">
        <f t="shared" ref="M261:M324" si="278">F261/E261</f>
        <v>0.69399610884279173</v>
      </c>
      <c r="N261" s="5">
        <f t="shared" ref="N261:N324" si="279">G261/F261</f>
        <v>0.76999921029771778</v>
      </c>
      <c r="O261" s="5">
        <f t="shared" si="218"/>
        <v>-4.6064725876894252E-3</v>
      </c>
      <c r="P261" s="2">
        <f t="shared" ref="P261:R261" si="280">(L261/L254)-1</f>
        <v>2.902034032223888E-3</v>
      </c>
      <c r="Q261" s="2">
        <f t="shared" si="280"/>
        <v>5.5343085065016062E-3</v>
      </c>
      <c r="R261" s="2">
        <f t="shared" si="280"/>
        <v>-1.4934988700873508E-2</v>
      </c>
      <c r="S261" s="3"/>
    </row>
    <row r="262" spans="3:19" x14ac:dyDescent="0.25">
      <c r="C262" s="1">
        <f t="shared" ref="C262:C325" si="281">C261+1</f>
        <v>43724</v>
      </c>
      <c r="D262">
        <v>62296</v>
      </c>
      <c r="E262">
        <v>35764</v>
      </c>
      <c r="F262">
        <v>24180</v>
      </c>
      <c r="G262">
        <v>18978</v>
      </c>
      <c r="H262">
        <f>'Total Traffic'!D260-'Page Sessions'!D262</f>
        <v>68277</v>
      </c>
      <c r="I262" s="2">
        <f t="shared" si="276"/>
        <v>0.30464235263901374</v>
      </c>
      <c r="J262" s="2">
        <f t="shared" si="217"/>
        <v>-4.1523345116914467E-2</v>
      </c>
      <c r="K262" s="2">
        <f>D262/'Total Traffic'!D260</f>
        <v>0.47709710277009798</v>
      </c>
      <c r="L262" s="5">
        <f t="shared" si="277"/>
        <v>0.57409785540002567</v>
      </c>
      <c r="M262" s="5">
        <f t="shared" si="278"/>
        <v>0.67609887037244154</v>
      </c>
      <c r="N262" s="5">
        <f t="shared" si="279"/>
        <v>0.78486352357320099</v>
      </c>
      <c r="O262" s="5">
        <f t="shared" si="218"/>
        <v>-4.2738068634800008E-2</v>
      </c>
      <c r="P262" s="2">
        <f t="shared" ref="P262:R262" si="282">(L262/L255)-1</f>
        <v>-4.1717831522174231E-2</v>
      </c>
      <c r="Q262" s="2">
        <f t="shared" si="282"/>
        <v>-4.998082158165329E-3</v>
      </c>
      <c r="R262" s="2">
        <f t="shared" si="282"/>
        <v>5.2271611103229532E-3</v>
      </c>
      <c r="S262" s="3"/>
    </row>
    <row r="263" spans="3:19" x14ac:dyDescent="0.25">
      <c r="C263" s="1">
        <f t="shared" si="281"/>
        <v>43725</v>
      </c>
      <c r="D263">
        <v>63650</v>
      </c>
      <c r="E263">
        <v>36573</v>
      </c>
      <c r="F263">
        <v>25206</v>
      </c>
      <c r="G263">
        <v>19958</v>
      </c>
      <c r="H263">
        <f>'Total Traffic'!D261-'Page Sessions'!D263</f>
        <v>67318</v>
      </c>
      <c r="I263" s="2">
        <f t="shared" si="276"/>
        <v>0.31355852317360566</v>
      </c>
      <c r="J263" s="2">
        <f t="shared" si="217"/>
        <v>-1.3253905181087267E-2</v>
      </c>
      <c r="K263" s="2">
        <f>D263/'Total Traffic'!D261</f>
        <v>0.48599657931708506</v>
      </c>
      <c r="L263" s="5">
        <f t="shared" si="277"/>
        <v>0.57459544383346428</v>
      </c>
      <c r="M263" s="5">
        <f t="shared" si="278"/>
        <v>0.68919694856861624</v>
      </c>
      <c r="N263" s="5">
        <f t="shared" si="279"/>
        <v>0.7917956042212172</v>
      </c>
      <c r="O263" s="5">
        <f t="shared" si="218"/>
        <v>1.8086433348810242</v>
      </c>
      <c r="P263" s="2">
        <f t="shared" ref="P263:R263" si="283">(L263/L256)-1</f>
        <v>-3.0030105663574891E-2</v>
      </c>
      <c r="Q263" s="2">
        <f t="shared" si="283"/>
        <v>-5.3997334279873854E-3</v>
      </c>
      <c r="R263" s="2">
        <f t="shared" si="283"/>
        <v>2.2818536284093804E-2</v>
      </c>
      <c r="S263" s="3"/>
    </row>
    <row r="264" spans="3:19" x14ac:dyDescent="0.25">
      <c r="C264" s="1">
        <f t="shared" si="281"/>
        <v>43726</v>
      </c>
      <c r="D264">
        <v>62280</v>
      </c>
      <c r="E264">
        <v>35717</v>
      </c>
      <c r="F264">
        <v>24844</v>
      </c>
      <c r="G264">
        <v>19557</v>
      </c>
      <c r="H264">
        <f>'Total Traffic'!D262-'Page Sessions'!D264</f>
        <v>67933</v>
      </c>
      <c r="I264" s="2">
        <f t="shared" si="276"/>
        <v>0.31401734104046242</v>
      </c>
      <c r="J264" s="2">
        <f t="shared" si="217"/>
        <v>2.5049777929364581E-3</v>
      </c>
      <c r="K264" s="2">
        <f>D264/'Total Traffic'!D262</f>
        <v>0.47829325796963434</v>
      </c>
      <c r="L264" s="5">
        <f t="shared" si="277"/>
        <v>0.57349068721901086</v>
      </c>
      <c r="M264" s="5">
        <f t="shared" si="278"/>
        <v>0.69557913598566512</v>
      </c>
      <c r="N264" s="5">
        <f t="shared" si="279"/>
        <v>0.78719207857027851</v>
      </c>
      <c r="O264" s="5">
        <f t="shared" si="218"/>
        <v>-2.7256592812603841E-2</v>
      </c>
      <c r="P264" s="2">
        <f t="shared" ref="P264:R264" si="284">(L264/L257)-1</f>
        <v>-2.317503552414113E-2</v>
      </c>
      <c r="Q264" s="2">
        <f t="shared" si="284"/>
        <v>2.3382674350462151E-2</v>
      </c>
      <c r="R264" s="2">
        <f t="shared" si="284"/>
        <v>2.8401826219490722E-3</v>
      </c>
      <c r="S264" s="3"/>
    </row>
    <row r="265" spans="3:19" x14ac:dyDescent="0.25">
      <c r="C265" s="1">
        <f t="shared" si="281"/>
        <v>43727</v>
      </c>
      <c r="D265">
        <v>64049</v>
      </c>
      <c r="E265">
        <v>36616</v>
      </c>
      <c r="F265">
        <v>24796</v>
      </c>
      <c r="G265">
        <v>19375</v>
      </c>
      <c r="H265">
        <f>'Total Traffic'!D263-'Page Sessions'!D265</f>
        <v>66611</v>
      </c>
      <c r="I265" s="2">
        <f t="shared" si="276"/>
        <v>0.30250277131571141</v>
      </c>
      <c r="J265" s="2">
        <f t="shared" si="217"/>
        <v>-2.0923773098711962E-2</v>
      </c>
      <c r="K265" s="2">
        <f>D265/'Total Traffic'!D263</f>
        <v>0.49019592836369202</v>
      </c>
      <c r="L265" s="5">
        <f t="shared" si="277"/>
        <v>0.57168730190947559</v>
      </c>
      <c r="M265" s="5">
        <f t="shared" si="278"/>
        <v>0.67719029932270047</v>
      </c>
      <c r="N265" s="5">
        <f t="shared" si="279"/>
        <v>0.78137602839167608</v>
      </c>
      <c r="O265" s="5">
        <f t="shared" si="218"/>
        <v>-1.2093997960047287E-2</v>
      </c>
      <c r="P265" s="2">
        <f t="shared" ref="P265:R265" si="285">(L265/L258)-1</f>
        <v>-1.5664398387723488E-2</v>
      </c>
      <c r="Q265" s="2">
        <f t="shared" si="285"/>
        <v>-7.4850613795056642E-3</v>
      </c>
      <c r="R265" s="2">
        <f t="shared" si="285"/>
        <v>2.1581445247071951E-3</v>
      </c>
      <c r="S265" s="3"/>
    </row>
    <row r="266" spans="3:19" x14ac:dyDescent="0.25">
      <c r="C266" s="1">
        <f t="shared" si="281"/>
        <v>43728</v>
      </c>
      <c r="D266">
        <v>64653</v>
      </c>
      <c r="E266">
        <v>37227</v>
      </c>
      <c r="F266">
        <v>25738</v>
      </c>
      <c r="G266">
        <v>20119</v>
      </c>
      <c r="H266">
        <f>'Total Traffic'!D264-'Page Sessions'!D266</f>
        <v>65487</v>
      </c>
      <c r="I266" s="2">
        <f t="shared" si="276"/>
        <v>0.3111843224599013</v>
      </c>
      <c r="J266" s="2">
        <f t="shared" si="217"/>
        <v>2.3897309861371063E-2</v>
      </c>
      <c r="K266" s="2">
        <f>D266/'Total Traffic'!D264</f>
        <v>0.49679575841401569</v>
      </c>
      <c r="L266" s="5">
        <f t="shared" si="277"/>
        <v>0.57579694677741167</v>
      </c>
      <c r="M266" s="5">
        <f t="shared" si="278"/>
        <v>0.69137991242915087</v>
      </c>
      <c r="N266" s="5">
        <f t="shared" si="279"/>
        <v>0.78168466858341756</v>
      </c>
      <c r="O266" s="5">
        <f t="shared" si="218"/>
        <v>-6.4084831719686264E-3</v>
      </c>
      <c r="P266" s="2">
        <f t="shared" ref="P266:R266" si="286">(L266/L259)-1</f>
        <v>-1.7282651530758919E-3</v>
      </c>
      <c r="Q266" s="2">
        <f t="shared" si="286"/>
        <v>2.1856628347816098E-2</v>
      </c>
      <c r="R266" s="2">
        <f t="shared" si="286"/>
        <v>3.7317477058154136E-3</v>
      </c>
      <c r="S266" s="3"/>
    </row>
    <row r="267" spans="3:19" x14ac:dyDescent="0.25">
      <c r="C267" s="1">
        <f t="shared" si="281"/>
        <v>43729</v>
      </c>
      <c r="D267">
        <v>65007</v>
      </c>
      <c r="E267">
        <v>38510</v>
      </c>
      <c r="F267">
        <v>26487</v>
      </c>
      <c r="G267">
        <v>20953</v>
      </c>
      <c r="H267">
        <f>'Total Traffic'!D265-'Page Sessions'!D267</f>
        <v>65425</v>
      </c>
      <c r="I267" s="2">
        <f t="shared" si="276"/>
        <v>0.32231913486239944</v>
      </c>
      <c r="J267" s="2">
        <f t="shared" si="217"/>
        <v>7.0203340870375941E-2</v>
      </c>
      <c r="K267" s="2">
        <f>D267/'Total Traffic'!D265</f>
        <v>0.49839763248282631</v>
      </c>
      <c r="L267" s="5">
        <f t="shared" si="277"/>
        <v>0.59239774178165427</v>
      </c>
      <c r="M267" s="5">
        <f t="shared" si="278"/>
        <v>0.68779537782394184</v>
      </c>
      <c r="N267" s="5">
        <f t="shared" si="279"/>
        <v>0.79106731604183189</v>
      </c>
      <c r="O267" s="5">
        <f t="shared" si="218"/>
        <v>4.8391178288883507E-2</v>
      </c>
      <c r="P267" s="2">
        <f t="shared" ref="P267:R267" si="287">(L267/L260)-1</f>
        <v>3.4938351611248031E-2</v>
      </c>
      <c r="Q267" s="2">
        <f t="shared" si="287"/>
        <v>1.4598529076739863E-2</v>
      </c>
      <c r="R267" s="2">
        <f t="shared" si="287"/>
        <v>1.9195724571359429E-2</v>
      </c>
      <c r="S267" s="3"/>
    </row>
    <row r="268" spans="3:19" x14ac:dyDescent="0.25">
      <c r="C268" s="1">
        <f t="shared" si="281"/>
        <v>43730</v>
      </c>
      <c r="D268">
        <v>61240</v>
      </c>
      <c r="E268">
        <v>34919</v>
      </c>
      <c r="F268">
        <v>23807</v>
      </c>
      <c r="G268">
        <v>18993</v>
      </c>
      <c r="H268">
        <f>'Total Traffic'!D266-'Page Sessions'!D268</f>
        <v>69004</v>
      </c>
      <c r="I268" s="2">
        <f t="shared" si="276"/>
        <v>0.31014043109079031</v>
      </c>
      <c r="J268" s="2">
        <f t="shared" ref="J268:J331" si="288">(I268/I261)-1</f>
        <v>-1.5791981023867474E-2</v>
      </c>
      <c r="K268" s="2">
        <f>D268/'Total Traffic'!D266</f>
        <v>0.47019440434876081</v>
      </c>
      <c r="L268" s="5">
        <f t="shared" si="277"/>
        <v>0.57019921619856306</v>
      </c>
      <c r="M268" s="5">
        <f t="shared" si="278"/>
        <v>0.6817778286892523</v>
      </c>
      <c r="N268" s="5">
        <f t="shared" si="279"/>
        <v>0.79779056579997476</v>
      </c>
      <c r="O268" s="5">
        <f t="shared" ref="O268:O331" si="289">(K268/K261)-1</f>
        <v>-1.0734070785784811E-2</v>
      </c>
      <c r="P268" s="2">
        <f t="shared" ref="P268:R268" si="290">(L268/L261)-1</f>
        <v>-3.305350356374992E-2</v>
      </c>
      <c r="Q268" s="2">
        <f t="shared" si="290"/>
        <v>-1.7605689711881589E-2</v>
      </c>
      <c r="R268" s="2">
        <f t="shared" si="290"/>
        <v>3.6092706499674998E-2</v>
      </c>
      <c r="S268" s="3"/>
    </row>
    <row r="269" spans="3:19" x14ac:dyDescent="0.25">
      <c r="C269" s="1">
        <f t="shared" si="281"/>
        <v>43731</v>
      </c>
      <c r="D269">
        <v>61644</v>
      </c>
      <c r="E269">
        <v>36672</v>
      </c>
      <c r="F269">
        <v>25263</v>
      </c>
      <c r="G269">
        <v>19472</v>
      </c>
      <c r="H269">
        <f>'Total Traffic'!D267-'Page Sessions'!D269</f>
        <v>68904</v>
      </c>
      <c r="I269" s="2">
        <f t="shared" si="276"/>
        <v>0.31587826876906105</v>
      </c>
      <c r="J269" s="2">
        <f t="shared" si="288"/>
        <v>3.6882318012299908E-2</v>
      </c>
      <c r="K269" s="2">
        <f>D269/'Total Traffic'!D267</f>
        <v>0.47219413549039435</v>
      </c>
      <c r="L269" s="5">
        <f t="shared" si="277"/>
        <v>0.59489974693400816</v>
      </c>
      <c r="M269" s="5">
        <f t="shared" si="278"/>
        <v>0.68889070680628273</v>
      </c>
      <c r="N269" s="5">
        <f t="shared" si="279"/>
        <v>0.77077148398844164</v>
      </c>
      <c r="O269" s="5">
        <f t="shared" si="289"/>
        <v>-1.0276665381609429E-2</v>
      </c>
      <c r="P269" s="2">
        <f t="shared" ref="P269:R269" si="291">(L269/L262)-1</f>
        <v>3.6234051979671555E-2</v>
      </c>
      <c r="Q269" s="2">
        <f t="shared" si="291"/>
        <v>1.8920067751029723E-2</v>
      </c>
      <c r="R269" s="2">
        <f t="shared" si="291"/>
        <v>-1.7954764314442095E-2</v>
      </c>
      <c r="S269" s="3"/>
    </row>
    <row r="270" spans="3:19" x14ac:dyDescent="0.25">
      <c r="C270" s="1">
        <f t="shared" si="281"/>
        <v>43732</v>
      </c>
      <c r="D270">
        <v>62992</v>
      </c>
      <c r="E270">
        <v>37234</v>
      </c>
      <c r="F270">
        <v>25639</v>
      </c>
      <c r="G270">
        <v>19895</v>
      </c>
      <c r="H270">
        <f>'Total Traffic'!D268-'Page Sessions'!D270</f>
        <v>67509</v>
      </c>
      <c r="I270" s="2">
        <f t="shared" si="276"/>
        <v>0.31583375666751334</v>
      </c>
      <c r="J270" s="2">
        <f t="shared" si="288"/>
        <v>7.2561685483125693E-3</v>
      </c>
      <c r="K270" s="2">
        <f>D270/'Total Traffic'!D268</f>
        <v>0.48269361920598308</v>
      </c>
      <c r="L270" s="5">
        <f t="shared" si="277"/>
        <v>0.59109093218186437</v>
      </c>
      <c r="M270" s="5">
        <f t="shared" si="278"/>
        <v>0.68859107267551167</v>
      </c>
      <c r="N270" s="5">
        <f t="shared" si="279"/>
        <v>0.77596630133780564</v>
      </c>
      <c r="O270" s="5">
        <f t="shared" si="289"/>
        <v>-6.7962620554722353E-3</v>
      </c>
      <c r="P270" s="2">
        <f t="shared" ref="P270:R270" si="292">(L270/L263)-1</f>
        <v>2.8708004084315286E-2</v>
      </c>
      <c r="Q270" s="2">
        <f t="shared" si="292"/>
        <v>-8.791041433989788E-4</v>
      </c>
      <c r="R270" s="2">
        <f t="shared" si="292"/>
        <v>-1.9991652895043122E-2</v>
      </c>
      <c r="S270" s="3"/>
    </row>
    <row r="271" spans="3:19" x14ac:dyDescent="0.25">
      <c r="C271" s="1">
        <f t="shared" si="281"/>
        <v>43733</v>
      </c>
      <c r="D271">
        <v>63096</v>
      </c>
      <c r="E271">
        <v>37188</v>
      </c>
      <c r="F271">
        <v>25704</v>
      </c>
      <c r="G271">
        <v>20478</v>
      </c>
      <c r="H271">
        <f>'Total Traffic'!D269-'Page Sessions'!D271</f>
        <v>67728</v>
      </c>
      <c r="I271" s="2">
        <f t="shared" si="276"/>
        <v>0.32455306200076073</v>
      </c>
      <c r="J271" s="2">
        <f t="shared" si="288"/>
        <v>3.3551398548211875E-2</v>
      </c>
      <c r="K271" s="2">
        <f>D271/'Total Traffic'!D269</f>
        <v>0.4822968262704091</v>
      </c>
      <c r="L271" s="5">
        <f t="shared" si="277"/>
        <v>0.58938759984785094</v>
      </c>
      <c r="M271" s="5">
        <f t="shared" si="278"/>
        <v>0.69119070667957405</v>
      </c>
      <c r="N271" s="5">
        <f t="shared" si="279"/>
        <v>0.79668534080298781</v>
      </c>
      <c r="O271" s="5">
        <f t="shared" si="289"/>
        <v>8.3705304937184977E-3</v>
      </c>
      <c r="P271" s="2">
        <f t="shared" ref="P271:R271" si="293">(L271/L264)-1</f>
        <v>2.771956543170373E-2</v>
      </c>
      <c r="Q271" s="2">
        <f t="shared" si="293"/>
        <v>-6.3090295252637985E-3</v>
      </c>
      <c r="R271" s="2">
        <f t="shared" si="293"/>
        <v>1.2059651629054979E-2</v>
      </c>
      <c r="S271" s="3"/>
    </row>
    <row r="272" spans="3:19" x14ac:dyDescent="0.25">
      <c r="C272" s="1">
        <f t="shared" si="281"/>
        <v>43734</v>
      </c>
      <c r="D272">
        <v>62593</v>
      </c>
      <c r="E272">
        <v>37537</v>
      </c>
      <c r="F272">
        <v>25303</v>
      </c>
      <c r="G272">
        <v>19673</v>
      </c>
      <c r="H272">
        <f>'Total Traffic'!D270-'Page Sessions'!D272</f>
        <v>67865</v>
      </c>
      <c r="I272" s="2">
        <f t="shared" si="276"/>
        <v>0.31430032112217021</v>
      </c>
      <c r="J272" s="2">
        <f t="shared" si="288"/>
        <v>3.8999807357619654E-2</v>
      </c>
      <c r="K272" s="2">
        <f>D272/'Total Traffic'!D270</f>
        <v>0.47979426328780145</v>
      </c>
      <c r="L272" s="5">
        <f t="shared" si="277"/>
        <v>0.59969964692537503</v>
      </c>
      <c r="M272" s="5">
        <f t="shared" si="278"/>
        <v>0.6740815728481232</v>
      </c>
      <c r="N272" s="5">
        <f t="shared" si="279"/>
        <v>0.77749673951705334</v>
      </c>
      <c r="O272" s="5">
        <f t="shared" si="289"/>
        <v>-2.1219403250883895E-2</v>
      </c>
      <c r="P272" s="2">
        <f t="shared" ref="P272:R272" si="294">(L272/L265)-1</f>
        <v>4.8999417902647613E-2</v>
      </c>
      <c r="Q272" s="2">
        <f t="shared" si="294"/>
        <v>-4.590624640793739E-3</v>
      </c>
      <c r="R272" s="2">
        <f t="shared" si="294"/>
        <v>-4.9646888740719763E-3</v>
      </c>
      <c r="S272" s="3"/>
    </row>
    <row r="273" spans="3:19" x14ac:dyDescent="0.25">
      <c r="C273" s="1">
        <f t="shared" si="281"/>
        <v>43735</v>
      </c>
      <c r="D273">
        <v>63054</v>
      </c>
      <c r="E273">
        <v>37498</v>
      </c>
      <c r="F273">
        <v>26248</v>
      </c>
      <c r="G273">
        <v>20449</v>
      </c>
      <c r="H273">
        <f>'Total Traffic'!D271-'Page Sessions'!D273</f>
        <v>67304</v>
      </c>
      <c r="I273" s="2">
        <f t="shared" si="276"/>
        <v>0.32430932216830016</v>
      </c>
      <c r="J273" s="2">
        <f t="shared" si="288"/>
        <v>4.217757374358122E-2</v>
      </c>
      <c r="K273" s="2">
        <f>D273/'Total Traffic'!D271</f>
        <v>0.48369873732337104</v>
      </c>
      <c r="L273" s="5">
        <f t="shared" si="277"/>
        <v>0.59469660925555867</v>
      </c>
      <c r="M273" s="5">
        <f t="shared" si="278"/>
        <v>0.69998399914662113</v>
      </c>
      <c r="N273" s="5">
        <f t="shared" si="279"/>
        <v>0.77906888143858577</v>
      </c>
      <c r="O273" s="5">
        <f t="shared" si="289"/>
        <v>-2.6362988952353228E-2</v>
      </c>
      <c r="P273" s="2">
        <f t="shared" ref="P273:R273" si="295">(L273/L266)-1</f>
        <v>3.2823485056535207E-2</v>
      </c>
      <c r="Q273" s="2">
        <f t="shared" si="295"/>
        <v>1.2444802868570415E-2</v>
      </c>
      <c r="R273" s="2">
        <f t="shared" si="295"/>
        <v>-3.3463457196520885E-3</v>
      </c>
      <c r="S273" s="3"/>
    </row>
    <row r="274" spans="3:19" x14ac:dyDescent="0.25">
      <c r="C274" s="1">
        <f t="shared" si="281"/>
        <v>43736</v>
      </c>
      <c r="D274">
        <v>62214</v>
      </c>
      <c r="E274">
        <v>37042</v>
      </c>
      <c r="F274">
        <v>25055</v>
      </c>
      <c r="G274">
        <v>19580</v>
      </c>
      <c r="H274">
        <f>'Total Traffic'!D272-'Page Sessions'!D274</f>
        <v>68078</v>
      </c>
      <c r="I274" s="2">
        <f t="shared" si="276"/>
        <v>0.31472015944964155</v>
      </c>
      <c r="J274" s="2">
        <f t="shared" si="288"/>
        <v>-2.3575936365062389E-2</v>
      </c>
      <c r="K274" s="2">
        <f>D274/'Total Traffic'!D272</f>
        <v>0.47749669972062753</v>
      </c>
      <c r="L274" s="5">
        <f t="shared" si="277"/>
        <v>0.59539653454206454</v>
      </c>
      <c r="M274" s="5">
        <f t="shared" si="278"/>
        <v>0.67639436315533719</v>
      </c>
      <c r="N274" s="5">
        <f t="shared" si="279"/>
        <v>0.7814807423667931</v>
      </c>
      <c r="O274" s="5">
        <f t="shared" si="289"/>
        <v>-4.1936260126434255E-2</v>
      </c>
      <c r="P274" s="2">
        <f t="shared" ref="P274:R274" si="296">(L274/L267)-1</f>
        <v>5.0621272650217541E-3</v>
      </c>
      <c r="Q274" s="2">
        <f t="shared" si="296"/>
        <v>-1.6576172268960798E-2</v>
      </c>
      <c r="R274" s="2">
        <f t="shared" si="296"/>
        <v>-1.2118530851465303E-2</v>
      </c>
      <c r="S274" s="3"/>
    </row>
    <row r="275" spans="3:19" x14ac:dyDescent="0.25">
      <c r="C275" s="1">
        <f t="shared" si="281"/>
        <v>43737</v>
      </c>
      <c r="D275">
        <v>62552</v>
      </c>
      <c r="E275">
        <v>36399</v>
      </c>
      <c r="F275">
        <v>25300</v>
      </c>
      <c r="G275">
        <v>20176</v>
      </c>
      <c r="H275">
        <f>'Total Traffic'!D273-'Page Sessions'!D275</f>
        <v>68228</v>
      </c>
      <c r="I275" s="2">
        <f t="shared" si="276"/>
        <v>0.32254764036321781</v>
      </c>
      <c r="J275" s="2">
        <f t="shared" si="288"/>
        <v>4.0005133251379998E-2</v>
      </c>
      <c r="K275" s="2">
        <f>D275/'Total Traffic'!D273</f>
        <v>0.47829943416424531</v>
      </c>
      <c r="L275" s="5">
        <f t="shared" si="277"/>
        <v>0.58189985931704824</v>
      </c>
      <c r="M275" s="5">
        <f t="shared" si="278"/>
        <v>0.69507404049561805</v>
      </c>
      <c r="N275" s="5">
        <f t="shared" si="279"/>
        <v>0.79747035573122527</v>
      </c>
      <c r="O275" s="5">
        <f t="shared" si="289"/>
        <v>1.7237614358065922E-2</v>
      </c>
      <c r="P275" s="2">
        <f t="shared" ref="P275:R275" si="297">(L275/L268)-1</f>
        <v>2.0520272189238797E-2</v>
      </c>
      <c r="Q275" s="2">
        <f t="shared" si="297"/>
        <v>1.9502264882869991E-2</v>
      </c>
      <c r="R275" s="2">
        <f t="shared" si="297"/>
        <v>-4.013710897025069E-4</v>
      </c>
      <c r="S275" s="3"/>
    </row>
    <row r="276" spans="3:19" x14ac:dyDescent="0.25">
      <c r="C276" s="1">
        <f t="shared" si="281"/>
        <v>43738</v>
      </c>
      <c r="D276">
        <v>61148</v>
      </c>
      <c r="E276">
        <v>36370</v>
      </c>
      <c r="F276">
        <v>24455</v>
      </c>
      <c r="G276">
        <v>19211</v>
      </c>
      <c r="H276">
        <f>'Total Traffic'!D274-'Page Sessions'!D276</f>
        <v>68955</v>
      </c>
      <c r="I276" s="2">
        <f t="shared" si="276"/>
        <v>0.31417217243409434</v>
      </c>
      <c r="J276" s="2">
        <f t="shared" si="288"/>
        <v>-5.401119683272837E-3</v>
      </c>
      <c r="K276" s="2">
        <f>D276/'Total Traffic'!D274</f>
        <v>0.46999684865068447</v>
      </c>
      <c r="L276" s="5">
        <f t="shared" si="277"/>
        <v>0.59478641983384573</v>
      </c>
      <c r="M276" s="5">
        <f t="shared" si="278"/>
        <v>0.67239483090459173</v>
      </c>
      <c r="N276" s="5">
        <f t="shared" si="279"/>
        <v>0.78556532406460844</v>
      </c>
      <c r="O276" s="5">
        <f t="shared" si="289"/>
        <v>-4.6533547847389389E-3</v>
      </c>
      <c r="P276" s="2">
        <f t="shared" ref="P276:R276" si="298">(L276/L269)-1</f>
        <v>-1.9049781202040705E-4</v>
      </c>
      <c r="Q276" s="2">
        <f t="shared" si="298"/>
        <v>-2.3945563118664137E-2</v>
      </c>
      <c r="R276" s="2">
        <f t="shared" si="298"/>
        <v>1.9193548780002123E-2</v>
      </c>
      <c r="S276" s="3"/>
    </row>
    <row r="277" spans="3:19" x14ac:dyDescent="0.25">
      <c r="C277" s="1">
        <f t="shared" si="281"/>
        <v>43739</v>
      </c>
      <c r="D277">
        <v>64058</v>
      </c>
      <c r="E277">
        <v>38140</v>
      </c>
      <c r="F277">
        <v>25591</v>
      </c>
      <c r="G277">
        <v>20150</v>
      </c>
      <c r="H277">
        <f>'Total Traffic'!D275-'Page Sessions'!D277</f>
        <v>66968</v>
      </c>
      <c r="I277" s="2">
        <f t="shared" si="276"/>
        <v>0.31455868119516689</v>
      </c>
      <c r="J277" s="2">
        <f t="shared" si="288"/>
        <v>-4.0371728652449645E-3</v>
      </c>
      <c r="K277" s="2">
        <f>D277/'Total Traffic'!D275</f>
        <v>0.48889533375055333</v>
      </c>
      <c r="L277" s="5">
        <f t="shared" si="277"/>
        <v>0.59539792063442509</v>
      </c>
      <c r="M277" s="5">
        <f t="shared" si="278"/>
        <v>0.67097535395909802</v>
      </c>
      <c r="N277" s="5">
        <f t="shared" si="279"/>
        <v>0.78738619045758274</v>
      </c>
      <c r="O277" s="5">
        <f t="shared" si="289"/>
        <v>1.2848138649049989E-2</v>
      </c>
      <c r="P277" s="2">
        <f t="shared" ref="P277:R277" si="299">(L277/L270)-1</f>
        <v>7.2865074019365927E-3</v>
      </c>
      <c r="Q277" s="2">
        <f t="shared" si="299"/>
        <v>-2.5582264155659229E-2</v>
      </c>
      <c r="R277" s="2">
        <f t="shared" si="299"/>
        <v>1.4716991060164109E-2</v>
      </c>
      <c r="S277" s="3"/>
    </row>
    <row r="278" spans="3:19" x14ac:dyDescent="0.25">
      <c r="C278" s="1">
        <f t="shared" si="281"/>
        <v>43740</v>
      </c>
      <c r="D278">
        <v>64770</v>
      </c>
      <c r="E278">
        <v>37514</v>
      </c>
      <c r="F278">
        <v>26237</v>
      </c>
      <c r="G278">
        <v>20952</v>
      </c>
      <c r="H278">
        <f>'Total Traffic'!D276-'Page Sessions'!D278</f>
        <v>65842</v>
      </c>
      <c r="I278" s="2">
        <f t="shared" si="276"/>
        <v>0.32348309402501157</v>
      </c>
      <c r="J278" s="2">
        <f t="shared" si="288"/>
        <v>-3.2967428165772139E-3</v>
      </c>
      <c r="K278" s="2">
        <f>D278/'Total Traffic'!D276</f>
        <v>0.49589624230545432</v>
      </c>
      <c r="L278" s="5">
        <f t="shared" si="277"/>
        <v>0.57918789563069317</v>
      </c>
      <c r="M278" s="5">
        <f t="shared" si="278"/>
        <v>0.69939222690195657</v>
      </c>
      <c r="N278" s="5">
        <f t="shared" si="279"/>
        <v>0.79856690932652363</v>
      </c>
      <c r="O278" s="5">
        <f t="shared" si="289"/>
        <v>2.8197191634473651E-2</v>
      </c>
      <c r="P278" s="2">
        <f t="shared" ref="P278:R278" si="300">(L278/L271)-1</f>
        <v>-1.7305596893777198E-2</v>
      </c>
      <c r="Q278" s="2">
        <f t="shared" si="300"/>
        <v>1.1865784859553363E-2</v>
      </c>
      <c r="R278" s="2">
        <f t="shared" si="300"/>
        <v>2.3617461338492074E-3</v>
      </c>
      <c r="S278" s="3"/>
    </row>
    <row r="279" spans="3:19" x14ac:dyDescent="0.25">
      <c r="C279" s="1">
        <f t="shared" si="281"/>
        <v>43741</v>
      </c>
      <c r="D279">
        <v>61507</v>
      </c>
      <c r="E279">
        <v>36762</v>
      </c>
      <c r="F279">
        <v>25564</v>
      </c>
      <c r="G279">
        <v>20425</v>
      </c>
      <c r="H279">
        <f>'Total Traffic'!D277-'Page Sessions'!D279</f>
        <v>68585</v>
      </c>
      <c r="I279" s="2">
        <f t="shared" si="276"/>
        <v>0.33207602386720209</v>
      </c>
      <c r="J279" s="2">
        <f t="shared" si="288"/>
        <v>5.65564256554556E-2</v>
      </c>
      <c r="K279" s="2">
        <f>D279/'Total Traffic'!D277</f>
        <v>0.47279617501460502</v>
      </c>
      <c r="L279" s="5">
        <f t="shared" si="277"/>
        <v>0.5976880680247777</v>
      </c>
      <c r="M279" s="5">
        <f t="shared" si="278"/>
        <v>0.69539198084979059</v>
      </c>
      <c r="N279" s="5">
        <f t="shared" si="279"/>
        <v>0.79897512126427794</v>
      </c>
      <c r="O279" s="5">
        <f t="shared" si="289"/>
        <v>-1.4585602223006755E-2</v>
      </c>
      <c r="P279" s="2">
        <f t="shared" ref="P279:R279" si="301">(L279/L272)-1</f>
        <v>-3.3543106301805459E-3</v>
      </c>
      <c r="Q279" s="2">
        <f t="shared" si="301"/>
        <v>3.1613989849369251E-2</v>
      </c>
      <c r="R279" s="2">
        <f t="shared" si="301"/>
        <v>2.7625044139176769E-2</v>
      </c>
      <c r="S279" s="3"/>
    </row>
    <row r="280" spans="3:19" x14ac:dyDescent="0.25">
      <c r="C280" s="1">
        <f t="shared" si="281"/>
        <v>43742</v>
      </c>
      <c r="D280">
        <v>63457</v>
      </c>
      <c r="E280">
        <v>37027</v>
      </c>
      <c r="F280">
        <v>25870</v>
      </c>
      <c r="G280">
        <v>20442</v>
      </c>
      <c r="H280">
        <f>'Total Traffic'!D278-'Page Sessions'!D280</f>
        <v>66553</v>
      </c>
      <c r="I280" s="2">
        <f t="shared" si="276"/>
        <v>0.32213940148446979</v>
      </c>
      <c r="J280" s="2">
        <f t="shared" si="288"/>
        <v>-6.6908982736681999E-3</v>
      </c>
      <c r="K280" s="2">
        <f>D280/'Total Traffic'!D278</f>
        <v>0.48809322359818474</v>
      </c>
      <c r="L280" s="5">
        <f t="shared" si="277"/>
        <v>0.58349748648691235</v>
      </c>
      <c r="M280" s="5">
        <f t="shared" si="278"/>
        <v>0.69867934210170957</v>
      </c>
      <c r="N280" s="5">
        <f t="shared" si="279"/>
        <v>0.7901816776188636</v>
      </c>
      <c r="O280" s="5">
        <f t="shared" si="289"/>
        <v>9.0851721034694854E-3</v>
      </c>
      <c r="P280" s="2">
        <f t="shared" ref="P280:R280" si="302">(L280/L273)-1</f>
        <v>-1.8831657343170938E-2</v>
      </c>
      <c r="Q280" s="2">
        <f t="shared" si="302"/>
        <v>-1.8638383827375149E-3</v>
      </c>
      <c r="R280" s="2">
        <f t="shared" si="302"/>
        <v>1.4264202363926559E-2</v>
      </c>
      <c r="S280" s="3"/>
    </row>
    <row r="281" spans="3:19" x14ac:dyDescent="0.25">
      <c r="C281" s="1">
        <f t="shared" si="281"/>
        <v>43743</v>
      </c>
      <c r="D281">
        <v>63110</v>
      </c>
      <c r="E281">
        <v>36767</v>
      </c>
      <c r="F281">
        <v>25641</v>
      </c>
      <c r="G281">
        <v>20005</v>
      </c>
      <c r="H281">
        <f>'Total Traffic'!D279-'Page Sessions'!D281</f>
        <v>67283</v>
      </c>
      <c r="I281" s="2">
        <f t="shared" si="276"/>
        <v>0.31698621454603076</v>
      </c>
      <c r="J281" s="2">
        <f t="shared" si="288"/>
        <v>7.2002222557077111E-3</v>
      </c>
      <c r="K281" s="2">
        <f>D281/'Total Traffic'!D279</f>
        <v>0.4839983741458514</v>
      </c>
      <c r="L281" s="5">
        <f t="shared" si="277"/>
        <v>0.58258596102044047</v>
      </c>
      <c r="M281" s="5">
        <f t="shared" si="278"/>
        <v>0.69739168275899588</v>
      </c>
      <c r="N281" s="5">
        <f t="shared" si="279"/>
        <v>0.78019578019578018</v>
      </c>
      <c r="O281" s="5">
        <f t="shared" si="289"/>
        <v>1.3616166203929581E-2</v>
      </c>
      <c r="P281" s="2">
        <f t="shared" ref="P281:R281" si="303">(L281/L274)-1</f>
        <v>-2.1516036420126339E-2</v>
      </c>
      <c r="Q281" s="2">
        <f t="shared" si="303"/>
        <v>3.1043013879813453E-2</v>
      </c>
      <c r="R281" s="2">
        <f t="shared" si="303"/>
        <v>-1.6442659445724539E-3</v>
      </c>
      <c r="S281" s="3"/>
    </row>
    <row r="282" spans="3:19" x14ac:dyDescent="0.25">
      <c r="C282" s="1">
        <f t="shared" si="281"/>
        <v>43744</v>
      </c>
      <c r="D282">
        <v>64719</v>
      </c>
      <c r="E282">
        <v>37588</v>
      </c>
      <c r="F282">
        <v>25330</v>
      </c>
      <c r="G282">
        <v>19653</v>
      </c>
      <c r="H282">
        <f>'Total Traffic'!D280-'Page Sessions'!D282</f>
        <v>65817</v>
      </c>
      <c r="I282" s="2">
        <f t="shared" si="276"/>
        <v>0.30366662031242758</v>
      </c>
      <c r="J282" s="2">
        <f t="shared" si="288"/>
        <v>-5.8537151378718844E-2</v>
      </c>
      <c r="K282" s="2">
        <f>D282/'Total Traffic'!D280</f>
        <v>0.4957942636514065</v>
      </c>
      <c r="L282" s="5">
        <f t="shared" si="277"/>
        <v>0.58078771303635712</v>
      </c>
      <c r="M282" s="5">
        <f t="shared" si="278"/>
        <v>0.67388528253697988</v>
      </c>
      <c r="N282" s="5">
        <f t="shared" si="279"/>
        <v>0.77587840505329653</v>
      </c>
      <c r="O282" s="5">
        <f t="shared" si="289"/>
        <v>3.6577148617645161E-2</v>
      </c>
      <c r="P282" s="2">
        <f t="shared" ref="P282:R282" si="304">(L282/L275)-1</f>
        <v>-1.9112331149150341E-3</v>
      </c>
      <c r="Q282" s="2">
        <f t="shared" si="304"/>
        <v>-3.0484173950058091E-2</v>
      </c>
      <c r="R282" s="2">
        <f t="shared" si="304"/>
        <v>-2.7075552743437648E-2</v>
      </c>
      <c r="S282" s="3"/>
    </row>
    <row r="283" spans="3:19" x14ac:dyDescent="0.25">
      <c r="C283" s="1">
        <f t="shared" si="281"/>
        <v>43745</v>
      </c>
      <c r="D283">
        <v>64163</v>
      </c>
      <c r="E283">
        <v>37464</v>
      </c>
      <c r="F283">
        <v>25850</v>
      </c>
      <c r="G283">
        <v>20111</v>
      </c>
      <c r="H283">
        <f>'Total Traffic'!D281-'Page Sessions'!D283</f>
        <v>66837</v>
      </c>
      <c r="I283" s="2">
        <f t="shared" si="276"/>
        <v>0.31343609245203624</v>
      </c>
      <c r="J283" s="2">
        <f t="shared" si="288"/>
        <v>-2.3429190954603607E-3</v>
      </c>
      <c r="K283" s="2">
        <f>D283/'Total Traffic'!D281</f>
        <v>0.48979389312977101</v>
      </c>
      <c r="L283" s="5">
        <f t="shared" si="277"/>
        <v>0.58388791047800137</v>
      </c>
      <c r="M283" s="5">
        <f t="shared" si="278"/>
        <v>0.68999572923339736</v>
      </c>
      <c r="N283" s="5">
        <f t="shared" si="279"/>
        <v>0.77798839458413926</v>
      </c>
      <c r="O283" s="5">
        <f t="shared" si="289"/>
        <v>4.2121653657725355E-2</v>
      </c>
      <c r="P283" s="2">
        <f t="shared" ref="P283:R283" si="305">(L283/L276)-1</f>
        <v>-1.8323399782545269E-2</v>
      </c>
      <c r="Q283" s="2">
        <f t="shared" si="305"/>
        <v>2.6176433131002375E-2</v>
      </c>
      <c r="R283" s="2">
        <f t="shared" si="305"/>
        <v>-9.6451934019506913E-3</v>
      </c>
      <c r="S283" s="3"/>
    </row>
    <row r="284" spans="3:19" x14ac:dyDescent="0.25">
      <c r="C284" s="1">
        <f t="shared" si="281"/>
        <v>43746</v>
      </c>
      <c r="D284">
        <v>63104</v>
      </c>
      <c r="E284">
        <v>36549</v>
      </c>
      <c r="F284">
        <v>25105</v>
      </c>
      <c r="G284">
        <v>20063</v>
      </c>
      <c r="H284">
        <f>'Total Traffic'!D282-'Page Sessions'!D284</f>
        <v>67440</v>
      </c>
      <c r="I284" s="2">
        <f t="shared" si="276"/>
        <v>0.31793547160243407</v>
      </c>
      <c r="J284" s="2">
        <f t="shared" si="288"/>
        <v>1.0735009424750475E-2</v>
      </c>
      <c r="K284" s="2">
        <f>D284/'Total Traffic'!D282</f>
        <v>0.48339257261919355</v>
      </c>
      <c r="L284" s="5">
        <f t="shared" si="277"/>
        <v>0.5791867393509128</v>
      </c>
      <c r="M284" s="5">
        <f t="shared" si="278"/>
        <v>0.68688609811485946</v>
      </c>
      <c r="N284" s="5">
        <f t="shared" si="279"/>
        <v>0.79916351324437362</v>
      </c>
      <c r="O284" s="5">
        <f t="shared" si="289"/>
        <v>-1.1255499391138457E-2</v>
      </c>
      <c r="P284" s="2">
        <f t="shared" ref="P284:R284" si="306">(L284/L277)-1</f>
        <v>-2.7227473798091983E-2</v>
      </c>
      <c r="Q284" s="2">
        <f t="shared" si="306"/>
        <v>2.3712859290404564E-2</v>
      </c>
      <c r="R284" s="2">
        <f t="shared" si="306"/>
        <v>1.4957492180484699E-2</v>
      </c>
      <c r="S284" s="3"/>
    </row>
    <row r="285" spans="3:19" x14ac:dyDescent="0.25">
      <c r="C285" s="1">
        <f t="shared" si="281"/>
        <v>43747</v>
      </c>
      <c r="D285">
        <v>64053</v>
      </c>
      <c r="E285">
        <v>37278</v>
      </c>
      <c r="F285">
        <v>25755</v>
      </c>
      <c r="G285">
        <v>20292</v>
      </c>
      <c r="H285">
        <f>'Total Traffic'!D283-'Page Sessions'!D285</f>
        <v>66908</v>
      </c>
      <c r="I285" s="2">
        <f t="shared" si="276"/>
        <v>0.31680014987588401</v>
      </c>
      <c r="J285" s="2">
        <f t="shared" si="288"/>
        <v>-2.0659330495370054E-2</v>
      </c>
      <c r="K285" s="2">
        <f>D285/'Total Traffic'!D283</f>
        <v>0.48909980833988742</v>
      </c>
      <c r="L285" s="5">
        <f t="shared" si="277"/>
        <v>0.58198679218771954</v>
      </c>
      <c r="M285" s="5">
        <f t="shared" si="278"/>
        <v>0.69089006920972151</v>
      </c>
      <c r="N285" s="5">
        <f t="shared" si="279"/>
        <v>0.78788584740827028</v>
      </c>
      <c r="O285" s="5">
        <f t="shared" si="289"/>
        <v>-1.370535484191171E-2</v>
      </c>
      <c r="P285" s="2">
        <f t="shared" ref="P285:R285" si="307">(L285/L278)-1</f>
        <v>4.832450018622314E-3</v>
      </c>
      <c r="Q285" s="2">
        <f t="shared" si="307"/>
        <v>-1.2156494403571472E-2</v>
      </c>
      <c r="R285" s="2">
        <f t="shared" si="307"/>
        <v>-1.3375287397346947E-2</v>
      </c>
      <c r="S285" s="3"/>
    </row>
    <row r="286" spans="3:19" x14ac:dyDescent="0.25">
      <c r="C286" s="1">
        <f t="shared" si="281"/>
        <v>43748</v>
      </c>
      <c r="D286">
        <v>61726</v>
      </c>
      <c r="E286">
        <v>36146</v>
      </c>
      <c r="F286">
        <v>24821</v>
      </c>
      <c r="G286">
        <v>19573</v>
      </c>
      <c r="H286">
        <f>'Total Traffic'!D284-'Page Sessions'!D286</f>
        <v>68581</v>
      </c>
      <c r="I286" s="2">
        <f t="shared" si="276"/>
        <v>0.31709490328224738</v>
      </c>
      <c r="J286" s="2">
        <f t="shared" si="288"/>
        <v>-4.5113526747554977E-2</v>
      </c>
      <c r="K286" s="2">
        <f>D286/'Total Traffic'!D284</f>
        <v>0.47369673156468955</v>
      </c>
      <c r="L286" s="5">
        <f t="shared" si="277"/>
        <v>0.58558792081132749</v>
      </c>
      <c r="M286" s="5">
        <f t="shared" si="278"/>
        <v>0.68668732363193719</v>
      </c>
      <c r="N286" s="5">
        <f t="shared" si="279"/>
        <v>0.78856613351597438</v>
      </c>
      <c r="O286" s="5">
        <f t="shared" si="289"/>
        <v>1.9047458454093391E-3</v>
      </c>
      <c r="P286" s="2">
        <f t="shared" ref="P286:R286" si="308">(L286/L279)-1</f>
        <v>-2.0244920152812207E-2</v>
      </c>
      <c r="Q286" s="2">
        <f t="shared" si="308"/>
        <v>-1.2517626687636008E-2</v>
      </c>
      <c r="R286" s="2">
        <f t="shared" si="308"/>
        <v>-1.3027924739174135E-2</v>
      </c>
      <c r="S286" s="3"/>
    </row>
    <row r="287" spans="3:19" x14ac:dyDescent="0.25">
      <c r="C287" s="1">
        <f t="shared" si="281"/>
        <v>43749</v>
      </c>
      <c r="D287">
        <v>64079</v>
      </c>
      <c r="E287">
        <v>37857</v>
      </c>
      <c r="F287">
        <v>25583</v>
      </c>
      <c r="G287">
        <v>19926</v>
      </c>
      <c r="H287">
        <f>'Total Traffic'!D285-'Page Sessions'!D287</f>
        <v>66723</v>
      </c>
      <c r="I287" s="2">
        <f t="shared" si="276"/>
        <v>0.31095990886249786</v>
      </c>
      <c r="J287" s="2">
        <f t="shared" si="288"/>
        <v>-3.4703897041017173E-2</v>
      </c>
      <c r="K287" s="2">
        <f>D287/'Total Traffic'!D285</f>
        <v>0.48989312090029202</v>
      </c>
      <c r="L287" s="5">
        <f t="shared" si="277"/>
        <v>0.59078637307074078</v>
      </c>
      <c r="M287" s="5">
        <f t="shared" si="278"/>
        <v>0.67577990860342874</v>
      </c>
      <c r="N287" s="5">
        <f t="shared" si="279"/>
        <v>0.77887659774068718</v>
      </c>
      <c r="O287" s="5">
        <f t="shared" si="289"/>
        <v>3.6876096923423862E-3</v>
      </c>
      <c r="P287" s="2">
        <f t="shared" ref="P287:R287" si="309">(L287/L280)-1</f>
        <v>1.2491718906473714E-2</v>
      </c>
      <c r="Q287" s="2">
        <f t="shared" si="309"/>
        <v>-3.2775312104400656E-2</v>
      </c>
      <c r="R287" s="2">
        <f t="shared" si="309"/>
        <v>-1.4306937503591799E-2</v>
      </c>
      <c r="S287" s="3"/>
    </row>
    <row r="288" spans="3:19" x14ac:dyDescent="0.25">
      <c r="C288" s="1">
        <f t="shared" si="281"/>
        <v>43750</v>
      </c>
      <c r="D288">
        <v>61727</v>
      </c>
      <c r="E288">
        <v>35202</v>
      </c>
      <c r="F288">
        <v>23902</v>
      </c>
      <c r="G288">
        <v>19045</v>
      </c>
      <c r="H288">
        <f>'Total Traffic'!D286-'Page Sessions'!D288</f>
        <v>68390</v>
      </c>
      <c r="I288" s="2">
        <f t="shared" si="276"/>
        <v>0.30853597291298784</v>
      </c>
      <c r="J288" s="2">
        <f t="shared" si="288"/>
        <v>-2.6658072954828249E-2</v>
      </c>
      <c r="K288" s="2">
        <f>D288/'Total Traffic'!D286</f>
        <v>0.47439612041470369</v>
      </c>
      <c r="L288" s="5">
        <f t="shared" si="277"/>
        <v>0.57028528844751891</v>
      </c>
      <c r="M288" s="5">
        <f t="shared" si="278"/>
        <v>0.67899551161865801</v>
      </c>
      <c r="N288" s="5">
        <f t="shared" si="279"/>
        <v>0.79679524725964357</v>
      </c>
      <c r="O288" s="5">
        <f t="shared" si="289"/>
        <v>-1.9839433857796629E-2</v>
      </c>
      <c r="P288" s="2">
        <f t="shared" ref="P288:R288" si="310">(L288/L281)-1</f>
        <v>-2.1113918624774408E-2</v>
      </c>
      <c r="Q288" s="2">
        <f t="shared" si="310"/>
        <v>-2.6378535326890606E-2</v>
      </c>
      <c r="R288" s="2">
        <f t="shared" si="310"/>
        <v>2.1276027742290538E-2</v>
      </c>
      <c r="S288" s="3"/>
    </row>
    <row r="289" spans="3:19" x14ac:dyDescent="0.25">
      <c r="C289" s="1">
        <f t="shared" si="281"/>
        <v>43751</v>
      </c>
      <c r="D289">
        <v>63141</v>
      </c>
      <c r="E289">
        <v>37183</v>
      </c>
      <c r="F289">
        <v>24968</v>
      </c>
      <c r="G289">
        <v>19744</v>
      </c>
      <c r="H289">
        <f>'Total Traffic'!D287-'Page Sessions'!D289</f>
        <v>67777</v>
      </c>
      <c r="I289" s="2">
        <f t="shared" si="276"/>
        <v>0.31269697977542327</v>
      </c>
      <c r="J289" s="2">
        <f t="shared" si="288"/>
        <v>2.9737741519646699E-2</v>
      </c>
      <c r="K289" s="2">
        <f>D289/'Total Traffic'!D287</f>
        <v>0.48229426052949176</v>
      </c>
      <c r="L289" s="5">
        <f t="shared" si="277"/>
        <v>0.58888836096989283</v>
      </c>
      <c r="M289" s="5">
        <f t="shared" si="278"/>
        <v>0.6714896592528844</v>
      </c>
      <c r="N289" s="5">
        <f t="shared" si="279"/>
        <v>0.79077218840115349</v>
      </c>
      <c r="O289" s="5">
        <f t="shared" si="289"/>
        <v>-2.7229042592163966E-2</v>
      </c>
      <c r="P289" s="2">
        <f t="shared" ref="P289:R289" si="311">(L289/L282)-1</f>
        <v>1.3947691646549298E-2</v>
      </c>
      <c r="Q289" s="2">
        <f t="shared" si="311"/>
        <v>-3.554942281981055E-3</v>
      </c>
      <c r="R289" s="2">
        <f t="shared" si="311"/>
        <v>1.919602769049078E-2</v>
      </c>
      <c r="S289" s="3"/>
    </row>
    <row r="290" spans="3:19" x14ac:dyDescent="0.25">
      <c r="C290" s="1">
        <f t="shared" si="281"/>
        <v>43752</v>
      </c>
      <c r="D290">
        <v>62985</v>
      </c>
      <c r="E290">
        <v>36128</v>
      </c>
      <c r="F290">
        <v>24762</v>
      </c>
      <c r="G290">
        <v>19690</v>
      </c>
      <c r="H290">
        <f>'Total Traffic'!D288-'Page Sessions'!D290</f>
        <v>67608</v>
      </c>
      <c r="I290" s="2">
        <f t="shared" si="276"/>
        <v>0.31261411447169962</v>
      </c>
      <c r="J290" s="2">
        <f t="shared" si="288"/>
        <v>-2.6224739273202902E-3</v>
      </c>
      <c r="K290" s="2">
        <f>D290/'Total Traffic'!D288</f>
        <v>0.48229997013622478</v>
      </c>
      <c r="L290" s="5">
        <f t="shared" si="277"/>
        <v>0.57359688814797172</v>
      </c>
      <c r="M290" s="5">
        <f t="shared" si="278"/>
        <v>0.68539636846767049</v>
      </c>
      <c r="N290" s="5">
        <f t="shared" si="279"/>
        <v>0.79517001857685166</v>
      </c>
      <c r="O290" s="5">
        <f t="shared" si="289"/>
        <v>-1.530015604249424E-2</v>
      </c>
      <c r="P290" s="2">
        <f t="shared" ref="P290:R290" si="312">(L290/L283)-1</f>
        <v>-1.7624996416871985E-2</v>
      </c>
      <c r="Q290" s="2">
        <f t="shared" si="312"/>
        <v>-6.6657814981505581E-3</v>
      </c>
      <c r="R290" s="2">
        <f t="shared" si="312"/>
        <v>2.2084679041898259E-2</v>
      </c>
      <c r="S290" s="3"/>
    </row>
    <row r="291" spans="3:19" x14ac:dyDescent="0.25">
      <c r="C291" s="1">
        <f t="shared" si="281"/>
        <v>43753</v>
      </c>
      <c r="D291">
        <v>62766</v>
      </c>
      <c r="E291">
        <v>36354</v>
      </c>
      <c r="F291">
        <v>24600</v>
      </c>
      <c r="G291">
        <v>19342</v>
      </c>
      <c r="H291">
        <f>'Total Traffic'!D289-'Page Sessions'!D291</f>
        <v>67481</v>
      </c>
      <c r="I291" s="2">
        <f t="shared" si="276"/>
        <v>0.30816046904374977</v>
      </c>
      <c r="J291" s="2">
        <f t="shared" si="288"/>
        <v>-3.074524056537975E-2</v>
      </c>
      <c r="K291" s="2">
        <f>D291/'Total Traffic'!D289</f>
        <v>0.48189977504280329</v>
      </c>
      <c r="L291" s="5">
        <f t="shared" si="277"/>
        <v>0.57919892935665807</v>
      </c>
      <c r="M291" s="5">
        <f t="shared" si="278"/>
        <v>0.67667932001980524</v>
      </c>
      <c r="N291" s="5">
        <f t="shared" si="279"/>
        <v>0.78626016260162601</v>
      </c>
      <c r="O291" s="5">
        <f t="shared" si="289"/>
        <v>-3.0881682114016762E-3</v>
      </c>
      <c r="P291" s="2">
        <f t="shared" ref="P291:R291" si="313">(L291/L284)-1</f>
        <v>2.1046762498366789E-5</v>
      </c>
      <c r="Q291" s="2">
        <f t="shared" si="313"/>
        <v>-1.4859491439798256E-2</v>
      </c>
      <c r="R291" s="2">
        <f t="shared" si="313"/>
        <v>-1.6146070771379084E-2</v>
      </c>
      <c r="S291" s="3"/>
    </row>
    <row r="292" spans="3:19" x14ac:dyDescent="0.25">
      <c r="C292" s="1">
        <f t="shared" si="281"/>
        <v>43754</v>
      </c>
      <c r="D292">
        <v>63368</v>
      </c>
      <c r="E292">
        <v>37152</v>
      </c>
      <c r="F292">
        <v>25883</v>
      </c>
      <c r="G292">
        <v>20103</v>
      </c>
      <c r="H292">
        <f>'Total Traffic'!D290-'Page Sessions'!D292</f>
        <v>66832</v>
      </c>
      <c r="I292" s="2">
        <f t="shared" si="276"/>
        <v>0.31724214114379495</v>
      </c>
      <c r="J292" s="2">
        <f t="shared" si="288"/>
        <v>1.3951737967425881E-3</v>
      </c>
      <c r="K292" s="2">
        <f>D292/'Total Traffic'!D290</f>
        <v>0.48669738863287249</v>
      </c>
      <c r="L292" s="5">
        <f t="shared" si="277"/>
        <v>0.58628960989774015</v>
      </c>
      <c r="M292" s="5">
        <f t="shared" si="278"/>
        <v>0.69667850990525404</v>
      </c>
      <c r="N292" s="5">
        <f t="shared" si="279"/>
        <v>0.77668740099679323</v>
      </c>
      <c r="O292" s="5">
        <f t="shared" si="289"/>
        <v>-4.9119211785612071E-3</v>
      </c>
      <c r="P292" s="2">
        <f t="shared" ref="P292:R292" si="314">(L292/L285)-1</f>
        <v>7.3933253602647131E-3</v>
      </c>
      <c r="Q292" s="2">
        <f t="shared" si="314"/>
        <v>8.3782369345004604E-3</v>
      </c>
      <c r="R292" s="2">
        <f t="shared" si="314"/>
        <v>-1.4213285399546138E-2</v>
      </c>
      <c r="S292" s="3"/>
    </row>
    <row r="293" spans="3:19" x14ac:dyDescent="0.25">
      <c r="C293" s="1">
        <f t="shared" si="281"/>
        <v>43755</v>
      </c>
      <c r="D293">
        <v>63945</v>
      </c>
      <c r="E293">
        <v>36525</v>
      </c>
      <c r="F293">
        <v>24807</v>
      </c>
      <c r="G293">
        <v>19346</v>
      </c>
      <c r="H293">
        <f>'Total Traffic'!D291-'Page Sessions'!D293</f>
        <v>66610</v>
      </c>
      <c r="I293" s="2">
        <f t="shared" si="276"/>
        <v>0.30254124638361091</v>
      </c>
      <c r="J293" s="2">
        <f t="shared" si="288"/>
        <v>-4.5896849012682539E-2</v>
      </c>
      <c r="K293" s="2">
        <f>D293/'Total Traffic'!D291</f>
        <v>0.48979357358967485</v>
      </c>
      <c r="L293" s="5">
        <f t="shared" si="277"/>
        <v>0.57119399483931499</v>
      </c>
      <c r="M293" s="5">
        <f t="shared" si="278"/>
        <v>0.67917864476386036</v>
      </c>
      <c r="N293" s="5">
        <f t="shared" si="279"/>
        <v>0.77986052323940824</v>
      </c>
      <c r="O293" s="5">
        <f t="shared" si="289"/>
        <v>3.3981323814110009E-2</v>
      </c>
      <c r="P293" s="2">
        <f t="shared" ref="P293:R293" si="315">(L293/L286)-1</f>
        <v>-2.4580298637427167E-2</v>
      </c>
      <c r="Q293" s="2">
        <f t="shared" si="315"/>
        <v>-1.0934640279017915E-2</v>
      </c>
      <c r="R293" s="2">
        <f t="shared" si="315"/>
        <v>-1.1039797306220178E-2</v>
      </c>
      <c r="S293" s="3"/>
    </row>
    <row r="294" spans="3:19" x14ac:dyDescent="0.25">
      <c r="C294" s="1">
        <f t="shared" si="281"/>
        <v>43756</v>
      </c>
      <c r="D294">
        <v>64173</v>
      </c>
      <c r="E294">
        <v>37515</v>
      </c>
      <c r="F294">
        <v>26234</v>
      </c>
      <c r="G294">
        <v>20396</v>
      </c>
      <c r="H294">
        <f>'Total Traffic'!D292-'Page Sessions'!D294</f>
        <v>65890</v>
      </c>
      <c r="I294" s="2">
        <f t="shared" si="276"/>
        <v>0.31782837018683868</v>
      </c>
      <c r="J294" s="2">
        <f t="shared" si="288"/>
        <v>2.2087932008553413E-2</v>
      </c>
      <c r="K294" s="2">
        <f>D294/'Total Traffic'!D292</f>
        <v>0.49339935262142193</v>
      </c>
      <c r="L294" s="5">
        <f t="shared" si="277"/>
        <v>0.58459165069421715</v>
      </c>
      <c r="M294" s="5">
        <f t="shared" si="278"/>
        <v>0.69929361588697858</v>
      </c>
      <c r="N294" s="5">
        <f t="shared" si="279"/>
        <v>0.77746435922848212</v>
      </c>
      <c r="O294" s="5">
        <f t="shared" si="289"/>
        <v>7.1571360599764766E-3</v>
      </c>
      <c r="P294" s="2">
        <f t="shared" ref="P294:R294" si="316">(L294/L287)-1</f>
        <v>-1.0485553930983937E-2</v>
      </c>
      <c r="Q294" s="2">
        <f t="shared" si="316"/>
        <v>3.4794919150738624E-2</v>
      </c>
      <c r="R294" s="2">
        <f t="shared" si="316"/>
        <v>-1.8131736353378392E-3</v>
      </c>
      <c r="S294" s="3"/>
    </row>
    <row r="295" spans="3:19" x14ac:dyDescent="0.25">
      <c r="C295" s="1">
        <f t="shared" si="281"/>
        <v>43757</v>
      </c>
      <c r="D295">
        <v>64098</v>
      </c>
      <c r="E295">
        <v>38042</v>
      </c>
      <c r="F295">
        <v>25510</v>
      </c>
      <c r="G295">
        <v>19902</v>
      </c>
      <c r="H295">
        <f>'Total Traffic'!D293-'Page Sessions'!D295</f>
        <v>66448</v>
      </c>
      <c r="I295" s="2">
        <f t="shared" si="276"/>
        <v>0.31049330712346718</v>
      </c>
      <c r="J295" s="2">
        <f t="shared" si="288"/>
        <v>6.3439416545161276E-3</v>
      </c>
      <c r="K295" s="2">
        <f>D295/'Total Traffic'!D293</f>
        <v>0.49099934122837929</v>
      </c>
      <c r="L295" s="5">
        <f t="shared" si="277"/>
        <v>0.59349745701893974</v>
      </c>
      <c r="M295" s="5">
        <f t="shared" si="278"/>
        <v>0.67057462804268964</v>
      </c>
      <c r="N295" s="5">
        <f t="shared" si="279"/>
        <v>0.78016464131713059</v>
      </c>
      <c r="O295" s="5">
        <f t="shared" si="289"/>
        <v>3.4998643747679692E-2</v>
      </c>
      <c r="P295" s="2">
        <f t="shared" ref="P295:R295" si="317">(L295/L288)-1</f>
        <v>4.0702730793934716E-2</v>
      </c>
      <c r="Q295" s="2">
        <f t="shared" si="317"/>
        <v>-1.2401972372238279E-2</v>
      </c>
      <c r="R295" s="2">
        <f t="shared" si="317"/>
        <v>-2.0871868901966129E-2</v>
      </c>
      <c r="S295" s="3"/>
    </row>
    <row r="296" spans="3:19" x14ac:dyDescent="0.25">
      <c r="C296" s="1">
        <f t="shared" si="281"/>
        <v>43758</v>
      </c>
      <c r="D296">
        <v>64349</v>
      </c>
      <c r="E296">
        <v>37444</v>
      </c>
      <c r="F296">
        <v>25817</v>
      </c>
      <c r="G296">
        <v>20330</v>
      </c>
      <c r="H296">
        <f>'Total Traffic'!D294-'Page Sessions'!D296</f>
        <v>66150</v>
      </c>
      <c r="I296" s="2">
        <f t="shared" si="276"/>
        <v>0.31593342553885839</v>
      </c>
      <c r="J296" s="2">
        <f t="shared" si="288"/>
        <v>1.0350102408278827E-2</v>
      </c>
      <c r="K296" s="2">
        <f>D296/'Total Traffic'!D294</f>
        <v>0.4930995639813332</v>
      </c>
      <c r="L296" s="5">
        <f t="shared" si="277"/>
        <v>0.58188938445041882</v>
      </c>
      <c r="M296" s="5">
        <f t="shared" si="278"/>
        <v>0.68948296122209163</v>
      </c>
      <c r="N296" s="5">
        <f t="shared" si="279"/>
        <v>0.78746562342642445</v>
      </c>
      <c r="O296" s="5">
        <f t="shared" si="289"/>
        <v>2.24039644178613E-2</v>
      </c>
      <c r="P296" s="2">
        <f t="shared" ref="P296:R296" si="318">(L296/L289)-1</f>
        <v>-1.188506512159071E-2</v>
      </c>
      <c r="Q296" s="2">
        <f t="shared" si="318"/>
        <v>2.6796096888858978E-2</v>
      </c>
      <c r="R296" s="2">
        <f t="shared" si="318"/>
        <v>-4.1814381224186681E-3</v>
      </c>
      <c r="S296" s="3"/>
    </row>
    <row r="297" spans="3:19" x14ac:dyDescent="0.25">
      <c r="C297" s="1">
        <f t="shared" si="281"/>
        <v>43759</v>
      </c>
      <c r="D297">
        <v>64857</v>
      </c>
      <c r="E297">
        <v>48303</v>
      </c>
      <c r="F297">
        <v>32430</v>
      </c>
      <c r="G297">
        <v>25713</v>
      </c>
      <c r="H297">
        <f>'Total Traffic'!D295-'Page Sessions'!D297</f>
        <v>66221</v>
      </c>
      <c r="I297" s="2">
        <f t="shared" si="276"/>
        <v>0.39645682038947222</v>
      </c>
      <c r="J297" s="2">
        <f t="shared" si="288"/>
        <v>0.2681987217994366</v>
      </c>
      <c r="K297" s="2">
        <f>D297/'Total Traffic'!D295</f>
        <v>0.49479699110453318</v>
      </c>
      <c r="L297" s="5">
        <f t="shared" si="277"/>
        <v>0.74476155233822106</v>
      </c>
      <c r="M297" s="5">
        <f t="shared" si="278"/>
        <v>0.67138687038072165</v>
      </c>
      <c r="N297" s="5">
        <f t="shared" si="279"/>
        <v>0.79287696577243294</v>
      </c>
      <c r="O297" s="5">
        <f t="shared" si="289"/>
        <v>2.5911303632838001E-2</v>
      </c>
      <c r="P297" s="2">
        <f t="shared" ref="P297:R297" si="319">(L297/L290)-1</f>
        <v>0.29840584516228019</v>
      </c>
      <c r="Q297" s="2">
        <f t="shared" si="319"/>
        <v>-2.0439994624234181E-2</v>
      </c>
      <c r="R297" s="2">
        <f t="shared" si="319"/>
        <v>-2.8837264369231397E-3</v>
      </c>
      <c r="S297" s="3"/>
    </row>
    <row r="298" spans="3:19" x14ac:dyDescent="0.25">
      <c r="C298" s="1">
        <f t="shared" si="281"/>
        <v>43760</v>
      </c>
      <c r="D298">
        <v>63995</v>
      </c>
      <c r="E298">
        <v>37840</v>
      </c>
      <c r="F298">
        <v>26026</v>
      </c>
      <c r="G298">
        <v>28492</v>
      </c>
      <c r="H298">
        <f>'Total Traffic'!D296-'Page Sessions'!D298</f>
        <v>66901</v>
      </c>
      <c r="I298" s="2">
        <f t="shared" si="276"/>
        <v>0.44522228299085864</v>
      </c>
      <c r="J298" s="2">
        <f t="shared" si="288"/>
        <v>0.44477416059374608</v>
      </c>
      <c r="K298" s="2">
        <f>D298/'Total Traffic'!D296</f>
        <v>0.48889958440288472</v>
      </c>
      <c r="L298" s="5">
        <f t="shared" si="277"/>
        <v>0.59129619501523556</v>
      </c>
      <c r="M298" s="5">
        <f t="shared" si="278"/>
        <v>0.68779069767441858</v>
      </c>
      <c r="N298" s="5">
        <f t="shared" si="279"/>
        <v>1.0947514024437102</v>
      </c>
      <c r="O298" s="5">
        <f t="shared" si="289"/>
        <v>1.4525446415615484E-2</v>
      </c>
      <c r="P298" s="2">
        <f t="shared" ref="P298:R298" si="320">(L298/L291)-1</f>
        <v>2.0886201692420947E-2</v>
      </c>
      <c r="Q298" s="2">
        <f t="shared" si="320"/>
        <v>1.6420448099829787E-2</v>
      </c>
      <c r="R298" s="2">
        <f t="shared" si="320"/>
        <v>0.39235262641481072</v>
      </c>
      <c r="S298" s="3"/>
    </row>
    <row r="299" spans="3:19" x14ac:dyDescent="0.25">
      <c r="C299" s="1">
        <f t="shared" si="281"/>
        <v>43761</v>
      </c>
      <c r="D299">
        <v>64846</v>
      </c>
      <c r="E299">
        <v>36994</v>
      </c>
      <c r="F299">
        <v>25470</v>
      </c>
      <c r="G299">
        <v>20062</v>
      </c>
      <c r="H299">
        <f>'Total Traffic'!D297-'Page Sessions'!D299</f>
        <v>65524</v>
      </c>
      <c r="I299" s="2">
        <f t="shared" si="276"/>
        <v>0.30937914443450637</v>
      </c>
      <c r="J299" s="2">
        <f t="shared" si="288"/>
        <v>-2.4785473584748474E-2</v>
      </c>
      <c r="K299" s="2">
        <f>D299/'Total Traffic'!D297</f>
        <v>0.49739970852189919</v>
      </c>
      <c r="L299" s="5">
        <f t="shared" si="277"/>
        <v>0.57049008419948799</v>
      </c>
      <c r="M299" s="5">
        <f t="shared" si="278"/>
        <v>0.68849002540952586</v>
      </c>
      <c r="N299" s="5">
        <f t="shared" si="279"/>
        <v>0.78767177071063998</v>
      </c>
      <c r="O299" s="5">
        <f t="shared" si="289"/>
        <v>2.1989680115378052E-2</v>
      </c>
      <c r="P299" s="2">
        <f t="shared" ref="P299:R299" si="321">(L299/L292)-1</f>
        <v>-2.6948329684723382E-2</v>
      </c>
      <c r="Q299" s="2">
        <f t="shared" si="321"/>
        <v>-1.1753605686562363E-2</v>
      </c>
      <c r="R299" s="2">
        <f t="shared" si="321"/>
        <v>1.4142587738322332E-2</v>
      </c>
      <c r="S299" s="3"/>
    </row>
    <row r="300" spans="3:19" x14ac:dyDescent="0.25">
      <c r="C300" s="1">
        <f t="shared" si="281"/>
        <v>43762</v>
      </c>
      <c r="D300">
        <v>65173</v>
      </c>
      <c r="E300">
        <v>38360</v>
      </c>
      <c r="F300">
        <v>26618</v>
      </c>
      <c r="G300">
        <v>21020</v>
      </c>
      <c r="H300">
        <f>'Total Traffic'!D298-'Page Sessions'!D300</f>
        <v>65802</v>
      </c>
      <c r="I300" s="2">
        <f t="shared" si="276"/>
        <v>0.32252619949979283</v>
      </c>
      <c r="J300" s="2">
        <f t="shared" si="288"/>
        <v>6.6056953737943402E-2</v>
      </c>
      <c r="K300" s="2">
        <f>D300/'Total Traffic'!D298</f>
        <v>0.49759877839282307</v>
      </c>
      <c r="L300" s="5">
        <f t="shared" si="277"/>
        <v>0.58858729842112534</v>
      </c>
      <c r="M300" s="5">
        <f t="shared" si="278"/>
        <v>0.69389989572471322</v>
      </c>
      <c r="N300" s="5">
        <f t="shared" si="279"/>
        <v>0.78969118641520775</v>
      </c>
      <c r="O300" s="5">
        <f t="shared" si="289"/>
        <v>1.5935702761357584E-2</v>
      </c>
      <c r="P300" s="2">
        <f t="shared" ref="P300:R300" si="322">(L300/L293)-1</f>
        <v>3.0450781589017373E-2</v>
      </c>
      <c r="Q300" s="2">
        <f t="shared" si="322"/>
        <v>2.1675079265737418E-2</v>
      </c>
      <c r="R300" s="2">
        <f t="shared" si="322"/>
        <v>1.2605668427688288E-2</v>
      </c>
      <c r="S300" s="3"/>
    </row>
    <row r="301" spans="3:19" x14ac:dyDescent="0.25">
      <c r="C301" s="1">
        <f t="shared" si="281"/>
        <v>43763</v>
      </c>
      <c r="D301">
        <v>61517</v>
      </c>
      <c r="E301">
        <v>36227</v>
      </c>
      <c r="F301">
        <v>24518</v>
      </c>
      <c r="G301">
        <v>19155</v>
      </c>
      <c r="H301">
        <f>'Total Traffic'!D299-'Page Sessions'!D301</f>
        <v>69344</v>
      </c>
      <c r="I301" s="2">
        <f t="shared" si="276"/>
        <v>0.31137734284831836</v>
      </c>
      <c r="J301" s="2">
        <f t="shared" si="288"/>
        <v>-2.0297204226067067E-2</v>
      </c>
      <c r="K301" s="2">
        <f>D301/'Total Traffic'!D299</f>
        <v>0.47009422211354029</v>
      </c>
      <c r="L301" s="5">
        <f t="shared" si="277"/>
        <v>0.58889412682673081</v>
      </c>
      <c r="M301" s="5">
        <f t="shared" si="278"/>
        <v>0.67678803102658236</v>
      </c>
      <c r="N301" s="5">
        <f t="shared" si="279"/>
        <v>0.78126274573782528</v>
      </c>
      <c r="O301" s="5">
        <f t="shared" si="289"/>
        <v>-4.7233808443529313E-2</v>
      </c>
      <c r="P301" s="2">
        <f t="shared" ref="P301:R301" si="323">(L301/L294)-1</f>
        <v>7.3597974370731567E-3</v>
      </c>
      <c r="Q301" s="2">
        <f t="shared" si="323"/>
        <v>-3.2183312344200798E-2</v>
      </c>
      <c r="R301" s="2">
        <f t="shared" si="323"/>
        <v>4.885608535306396E-3</v>
      </c>
      <c r="S301" s="3"/>
    </row>
    <row r="302" spans="3:19" x14ac:dyDescent="0.25">
      <c r="C302" s="1">
        <f t="shared" si="281"/>
        <v>43764</v>
      </c>
      <c r="D302">
        <v>62300</v>
      </c>
      <c r="E302">
        <v>36819</v>
      </c>
      <c r="F302">
        <v>24885</v>
      </c>
      <c r="G302">
        <v>19353</v>
      </c>
      <c r="H302">
        <f>'Total Traffic'!D300-'Page Sessions'!D302</f>
        <v>68117</v>
      </c>
      <c r="I302" s="2">
        <f t="shared" si="276"/>
        <v>0.31064205457463884</v>
      </c>
      <c r="J302" s="2">
        <f t="shared" si="288"/>
        <v>4.7906814014675447E-4</v>
      </c>
      <c r="K302" s="2">
        <f>D302/'Total Traffic'!D300</f>
        <v>0.47769845955665291</v>
      </c>
      <c r="L302" s="5">
        <f t="shared" si="277"/>
        <v>0.59099518459069023</v>
      </c>
      <c r="M302" s="5">
        <f t="shared" si="278"/>
        <v>0.67587386946956729</v>
      </c>
      <c r="N302" s="5">
        <f t="shared" si="279"/>
        <v>0.77769740807715493</v>
      </c>
      <c r="O302" s="5">
        <f t="shared" si="289"/>
        <v>-2.7089408385865266E-2</v>
      </c>
      <c r="P302" s="2">
        <f t="shared" ref="P302:R302" si="324">(L302/L295)-1</f>
        <v>-4.2161468404904312E-3</v>
      </c>
      <c r="Q302" s="2">
        <f t="shared" si="324"/>
        <v>7.9025379208654822E-3</v>
      </c>
      <c r="R302" s="2">
        <f t="shared" si="324"/>
        <v>-3.1624520124499123E-3</v>
      </c>
      <c r="S302" s="3"/>
    </row>
    <row r="303" spans="3:19" x14ac:dyDescent="0.25">
      <c r="C303" s="1">
        <f t="shared" si="281"/>
        <v>43765</v>
      </c>
      <c r="D303">
        <v>64538</v>
      </c>
      <c r="E303">
        <v>37496</v>
      </c>
      <c r="F303">
        <v>25261</v>
      </c>
      <c r="G303">
        <v>19600</v>
      </c>
      <c r="H303">
        <f>'Total Traffic'!D301-'Page Sessions'!D303</f>
        <v>65658</v>
      </c>
      <c r="I303" s="2">
        <f t="shared" si="276"/>
        <v>0.30369704670116832</v>
      </c>
      <c r="J303" s="2">
        <f t="shared" si="288"/>
        <v>-3.873087761074856E-2</v>
      </c>
      <c r="K303" s="2">
        <f>D303/'Total Traffic'!D301</f>
        <v>0.49569879258963406</v>
      </c>
      <c r="L303" s="5">
        <f t="shared" si="277"/>
        <v>0.58099104403607182</v>
      </c>
      <c r="M303" s="5">
        <f t="shared" si="278"/>
        <v>0.67369852784296991</v>
      </c>
      <c r="N303" s="5">
        <f t="shared" si="279"/>
        <v>0.77589960809152447</v>
      </c>
      <c r="O303" s="5">
        <f t="shared" si="289"/>
        <v>5.2712044344846998E-3</v>
      </c>
      <c r="P303" s="2">
        <f t="shared" ref="P303:R303" si="325">(L303/L296)-1</f>
        <v>-1.5438336535310571E-3</v>
      </c>
      <c r="Q303" s="2">
        <f t="shared" si="325"/>
        <v>-2.2893144960600909E-2</v>
      </c>
      <c r="R303" s="2">
        <f t="shared" si="325"/>
        <v>-1.4687644756572249E-2</v>
      </c>
      <c r="S303" s="3"/>
    </row>
    <row r="304" spans="3:19" x14ac:dyDescent="0.25">
      <c r="C304" s="1">
        <f t="shared" si="281"/>
        <v>43766</v>
      </c>
      <c r="D304">
        <v>61751</v>
      </c>
      <c r="E304">
        <v>35309</v>
      </c>
      <c r="F304">
        <v>24451</v>
      </c>
      <c r="G304">
        <v>19174</v>
      </c>
      <c r="H304">
        <f>'Total Traffic'!D302-'Page Sessions'!D304</f>
        <v>68334</v>
      </c>
      <c r="I304" s="2">
        <f t="shared" si="276"/>
        <v>0.31050509303493062</v>
      </c>
      <c r="J304" s="2">
        <f t="shared" si="288"/>
        <v>-0.21679971924837649</v>
      </c>
      <c r="K304" s="2">
        <f>D304/'Total Traffic'!D302</f>
        <v>0.47469731329515319</v>
      </c>
      <c r="L304" s="5">
        <f t="shared" si="277"/>
        <v>0.5717964081553335</v>
      </c>
      <c r="M304" s="5">
        <f t="shared" si="278"/>
        <v>0.69248633492877165</v>
      </c>
      <c r="N304" s="5">
        <f t="shared" si="279"/>
        <v>0.78418060611017959</v>
      </c>
      <c r="O304" s="5">
        <f t="shared" si="289"/>
        <v>-4.0622069597698207E-2</v>
      </c>
      <c r="P304" s="2">
        <f t="shared" ref="P304:R304" si="326">(L304/L297)-1</f>
        <v>-0.23224231116637761</v>
      </c>
      <c r="Q304" s="2">
        <f t="shared" si="326"/>
        <v>3.1426686280125127E-2</v>
      </c>
      <c r="R304" s="2">
        <f t="shared" si="326"/>
        <v>-1.0968107332745114E-2</v>
      </c>
      <c r="S304" s="3"/>
    </row>
    <row r="305" spans="3:19" x14ac:dyDescent="0.25">
      <c r="C305" s="1">
        <f t="shared" si="281"/>
        <v>43767</v>
      </c>
      <c r="D305">
        <v>63443</v>
      </c>
      <c r="E305">
        <v>36815</v>
      </c>
      <c r="F305">
        <v>25512</v>
      </c>
      <c r="G305">
        <v>19815</v>
      </c>
      <c r="H305">
        <f>'Total Traffic'!D303-'Page Sessions'!D305</f>
        <v>66832</v>
      </c>
      <c r="I305" s="2">
        <f t="shared" si="276"/>
        <v>0.3123276011537916</v>
      </c>
      <c r="J305" s="2">
        <f t="shared" si="288"/>
        <v>-0.2984906347102031</v>
      </c>
      <c r="K305" s="2">
        <f>D305/'Total Traffic'!D303</f>
        <v>0.48699289963538667</v>
      </c>
      <c r="L305" s="5">
        <f t="shared" si="277"/>
        <v>0.58028466497485931</v>
      </c>
      <c r="M305" s="5">
        <f t="shared" si="278"/>
        <v>0.69297840554121959</v>
      </c>
      <c r="N305" s="5">
        <f t="shared" si="279"/>
        <v>0.77669332079021636</v>
      </c>
      <c r="O305" s="5">
        <f t="shared" si="289"/>
        <v>-3.8999517044523424E-3</v>
      </c>
      <c r="P305" s="2">
        <f t="shared" ref="P305:R305" si="327">(L305/L298)-1</f>
        <v>-1.862269727626531E-2</v>
      </c>
      <c r="Q305" s="2">
        <f t="shared" si="327"/>
        <v>7.5425676508011907E-3</v>
      </c>
      <c r="R305" s="2">
        <f t="shared" si="327"/>
        <v>-0.29052996044903234</v>
      </c>
      <c r="S305" s="3"/>
    </row>
    <row r="306" spans="3:19" x14ac:dyDescent="0.25">
      <c r="C306" s="1">
        <f t="shared" si="281"/>
        <v>43768</v>
      </c>
      <c r="D306">
        <v>64388</v>
      </c>
      <c r="E306">
        <v>37428</v>
      </c>
      <c r="F306">
        <v>34991</v>
      </c>
      <c r="G306">
        <v>27457</v>
      </c>
      <c r="H306">
        <f>'Total Traffic'!D304-'Page Sessions'!D306</f>
        <v>66244</v>
      </c>
      <c r="I306" s="2">
        <f t="shared" si="276"/>
        <v>0.4264303907560415</v>
      </c>
      <c r="J306" s="2">
        <f t="shared" si="288"/>
        <v>0.37834239452528506</v>
      </c>
      <c r="K306" s="2">
        <f>D306/'Total Traffic'!D304</f>
        <v>0.49289607446873662</v>
      </c>
      <c r="L306" s="5">
        <f t="shared" si="277"/>
        <v>0.58128843883953529</v>
      </c>
      <c r="M306" s="5">
        <f t="shared" si="278"/>
        <v>0.93488831890563218</v>
      </c>
      <c r="N306" s="5">
        <f t="shared" si="279"/>
        <v>0.78468749106913205</v>
      </c>
      <c r="O306" s="5">
        <f t="shared" si="289"/>
        <v>-9.054356036005351E-3</v>
      </c>
      <c r="P306" s="2">
        <f t="shared" ref="P306:R306" si="328">(L306/L299)-1</f>
        <v>1.8928207411702092E-2</v>
      </c>
      <c r="Q306" s="2">
        <f t="shared" si="328"/>
        <v>0.35788215428327286</v>
      </c>
      <c r="R306" s="2">
        <f t="shared" si="328"/>
        <v>-3.7887350448213564E-3</v>
      </c>
      <c r="S306" s="3"/>
    </row>
    <row r="307" spans="3:19" x14ac:dyDescent="0.25">
      <c r="C307" s="1">
        <f t="shared" si="281"/>
        <v>43769</v>
      </c>
      <c r="D307">
        <v>61868</v>
      </c>
      <c r="E307">
        <v>36755</v>
      </c>
      <c r="F307">
        <v>24960</v>
      </c>
      <c r="G307">
        <v>19269</v>
      </c>
      <c r="H307">
        <f>'Total Traffic'!D305-'Page Sessions'!D307</f>
        <v>69043</v>
      </c>
      <c r="I307" s="2">
        <f t="shared" si="276"/>
        <v>0.31145341695222084</v>
      </c>
      <c r="J307" s="2">
        <f t="shared" si="288"/>
        <v>-3.4331420407845314E-2</v>
      </c>
      <c r="K307" s="2">
        <f>D307/'Total Traffic'!D305</f>
        <v>0.47259588575444383</v>
      </c>
      <c r="L307" s="5">
        <f t="shared" si="277"/>
        <v>0.59408741190922609</v>
      </c>
      <c r="M307" s="5">
        <f t="shared" si="278"/>
        <v>0.67909128009794584</v>
      </c>
      <c r="N307" s="5">
        <f t="shared" si="279"/>
        <v>0.77199519230769231</v>
      </c>
      <c r="O307" s="5">
        <f t="shared" si="289"/>
        <v>-5.0247094092825573E-2</v>
      </c>
      <c r="P307" s="2">
        <f t="shared" ref="P307:R307" si="329">(L307/L300)-1</f>
        <v>9.3446010521374134E-3</v>
      </c>
      <c r="Q307" s="2">
        <f t="shared" si="329"/>
        <v>-2.134114116172503E-2</v>
      </c>
      <c r="R307" s="2">
        <f t="shared" si="329"/>
        <v>-2.2408752195711035E-2</v>
      </c>
      <c r="S307" s="3"/>
    </row>
    <row r="308" spans="3:19" x14ac:dyDescent="0.25">
      <c r="C308" s="1">
        <f t="shared" si="281"/>
        <v>43770</v>
      </c>
      <c r="D308">
        <v>64633</v>
      </c>
      <c r="E308">
        <v>37816</v>
      </c>
      <c r="F308">
        <v>25680</v>
      </c>
      <c r="G308">
        <v>19991</v>
      </c>
      <c r="H308">
        <f>'Total Traffic'!D306-'Page Sessions'!D308</f>
        <v>66417</v>
      </c>
      <c r="I308" s="2">
        <f t="shared" si="276"/>
        <v>0.30930020268284003</v>
      </c>
      <c r="J308" s="2">
        <f t="shared" si="288"/>
        <v>-6.6708134460835566E-3</v>
      </c>
      <c r="K308" s="2">
        <f>D308/'Total Traffic'!D306</f>
        <v>0.49319343761922929</v>
      </c>
      <c r="L308" s="5">
        <f t="shared" si="277"/>
        <v>0.58508811288351148</v>
      </c>
      <c r="M308" s="5">
        <f t="shared" si="278"/>
        <v>0.6790776390945632</v>
      </c>
      <c r="N308" s="5">
        <f t="shared" si="279"/>
        <v>0.77846573208722747</v>
      </c>
      <c r="O308" s="5">
        <f t="shared" si="289"/>
        <v>4.9137416328656647E-2</v>
      </c>
      <c r="P308" s="2">
        <f t="shared" ref="P308:R308" si="330">(L308/L301)-1</f>
        <v>-6.4629850593486138E-3</v>
      </c>
      <c r="Q308" s="2">
        <f t="shared" si="330"/>
        <v>3.3830504722547339E-3</v>
      </c>
      <c r="R308" s="2">
        <f t="shared" si="330"/>
        <v>-3.5801190647537506E-3</v>
      </c>
      <c r="S308" s="3"/>
    </row>
    <row r="309" spans="3:19" x14ac:dyDescent="0.25">
      <c r="C309" s="1">
        <f t="shared" si="281"/>
        <v>43771</v>
      </c>
      <c r="D309">
        <v>62854</v>
      </c>
      <c r="E309">
        <v>37680</v>
      </c>
      <c r="F309">
        <v>25660</v>
      </c>
      <c r="G309">
        <v>19778</v>
      </c>
      <c r="H309">
        <f>'Total Traffic'!D307-'Page Sessions'!D309</f>
        <v>67740</v>
      </c>
      <c r="I309" s="2">
        <f t="shared" si="276"/>
        <v>0.31466573328666431</v>
      </c>
      <c r="J309" s="2">
        <f t="shared" si="288"/>
        <v>1.295278167515046E-2</v>
      </c>
      <c r="K309" s="2">
        <f>D309/'Total Traffic'!D307</f>
        <v>0.48129316813942447</v>
      </c>
      <c r="L309" s="5">
        <f t="shared" si="277"/>
        <v>0.59948451968052952</v>
      </c>
      <c r="M309" s="5">
        <f t="shared" si="278"/>
        <v>0.68099787685774948</v>
      </c>
      <c r="N309" s="5">
        <f t="shared" si="279"/>
        <v>0.77077162899454399</v>
      </c>
      <c r="O309" s="5">
        <f t="shared" si="289"/>
        <v>7.52505793321534E-3</v>
      </c>
      <c r="P309" s="2">
        <f t="shared" ref="P309:R309" si="331">(L309/L302)-1</f>
        <v>1.4364474214318301E-2</v>
      </c>
      <c r="Q309" s="2">
        <f t="shared" si="331"/>
        <v>7.5813071338348692E-3</v>
      </c>
      <c r="R309" s="2">
        <f t="shared" si="331"/>
        <v>-8.9054933328566177E-3</v>
      </c>
      <c r="S309" s="3"/>
    </row>
    <row r="310" spans="3:19" x14ac:dyDescent="0.25">
      <c r="C310" s="1">
        <f t="shared" si="281"/>
        <v>43772</v>
      </c>
      <c r="D310">
        <v>62466</v>
      </c>
      <c r="E310">
        <v>36686</v>
      </c>
      <c r="F310">
        <v>25129</v>
      </c>
      <c r="G310">
        <v>19854</v>
      </c>
      <c r="H310">
        <f>'Total Traffic'!D308-'Page Sessions'!D310</f>
        <v>68245</v>
      </c>
      <c r="I310" s="2">
        <f t="shared" si="276"/>
        <v>0.31783690327538183</v>
      </c>
      <c r="J310" s="2">
        <f t="shared" si="288"/>
        <v>4.6559084876866885E-2</v>
      </c>
      <c r="K310" s="2">
        <f>D310/'Total Traffic'!D308</f>
        <v>0.47789397984867377</v>
      </c>
      <c r="L310" s="5">
        <f t="shared" si="277"/>
        <v>0.58729548874587778</v>
      </c>
      <c r="M310" s="5">
        <f t="shared" si="278"/>
        <v>0.68497519489723602</v>
      </c>
      <c r="N310" s="5">
        <f t="shared" si="279"/>
        <v>0.79008317083847346</v>
      </c>
      <c r="O310" s="5">
        <f t="shared" si="289"/>
        <v>-3.59186122845776E-2</v>
      </c>
      <c r="P310" s="2">
        <f t="shared" ref="P310:R310" si="332">(L310/L303)-1</f>
        <v>1.0851190865197813E-2</v>
      </c>
      <c r="Q310" s="2">
        <f t="shared" si="332"/>
        <v>1.6738446928734385E-2</v>
      </c>
      <c r="R310" s="2">
        <f t="shared" si="332"/>
        <v>1.8280151966871383E-2</v>
      </c>
      <c r="S310" s="3"/>
    </row>
    <row r="311" spans="3:19" x14ac:dyDescent="0.25">
      <c r="C311" s="1">
        <f t="shared" si="281"/>
        <v>43773</v>
      </c>
      <c r="D311">
        <v>64289</v>
      </c>
      <c r="E311">
        <v>37268</v>
      </c>
      <c r="F311">
        <v>25651</v>
      </c>
      <c r="G311">
        <v>20069</v>
      </c>
      <c r="H311">
        <f>'Total Traffic'!D309-'Page Sessions'!D311</f>
        <v>66169</v>
      </c>
      <c r="I311" s="2">
        <f t="shared" si="276"/>
        <v>0.31216848916610929</v>
      </c>
      <c r="J311" s="2">
        <f t="shared" si="288"/>
        <v>5.3570655312618065E-3</v>
      </c>
      <c r="K311" s="2">
        <f>D311/'Total Traffic'!D309</f>
        <v>0.49279461589170459</v>
      </c>
      <c r="L311" s="5">
        <f t="shared" si="277"/>
        <v>0.57969481559831382</v>
      </c>
      <c r="M311" s="5">
        <f t="shared" si="278"/>
        <v>0.68828485564022757</v>
      </c>
      <c r="N311" s="5">
        <f t="shared" si="279"/>
        <v>0.78238665159253051</v>
      </c>
      <c r="O311" s="5">
        <f t="shared" si="289"/>
        <v>3.8123878289783031E-2</v>
      </c>
      <c r="P311" s="2">
        <f t="shared" ref="P311:R311" si="333">(L311/L304)-1</f>
        <v>1.3813321193222095E-2</v>
      </c>
      <c r="Q311" s="2">
        <f t="shared" si="333"/>
        <v>-6.0672378307309316E-3</v>
      </c>
      <c r="R311" s="2">
        <f t="shared" si="333"/>
        <v>-2.2876802915947625E-3</v>
      </c>
      <c r="S311" s="3"/>
    </row>
    <row r="312" spans="3:19" x14ac:dyDescent="0.25">
      <c r="C312" s="1">
        <f t="shared" si="281"/>
        <v>43774</v>
      </c>
      <c r="D312">
        <v>61708</v>
      </c>
      <c r="E312">
        <v>36339</v>
      </c>
      <c r="F312">
        <v>25237</v>
      </c>
      <c r="G312">
        <v>19790</v>
      </c>
      <c r="H312">
        <f>'Total Traffic'!D310-'Page Sessions'!D312</f>
        <v>68727</v>
      </c>
      <c r="I312" s="2">
        <f t="shared" si="276"/>
        <v>0.32070396058857847</v>
      </c>
      <c r="J312" s="2">
        <f t="shared" si="288"/>
        <v>2.6819145678586009E-2</v>
      </c>
      <c r="K312" s="2">
        <f>D312/'Total Traffic'!D310</f>
        <v>0.47309387817686971</v>
      </c>
      <c r="L312" s="5">
        <f t="shared" si="277"/>
        <v>0.58888636805600569</v>
      </c>
      <c r="M312" s="5">
        <f t="shared" si="278"/>
        <v>0.69448801563058971</v>
      </c>
      <c r="N312" s="5">
        <f t="shared" si="279"/>
        <v>0.78416610532155173</v>
      </c>
      <c r="O312" s="5">
        <f t="shared" si="289"/>
        <v>-2.854050124534302E-2</v>
      </c>
      <c r="P312" s="2">
        <f t="shared" ref="P312:R312" si="334">(L312/L305)-1</f>
        <v>1.482324727902129E-2</v>
      </c>
      <c r="Q312" s="2">
        <f t="shared" si="334"/>
        <v>2.1784374192599376E-3</v>
      </c>
      <c r="R312" s="2">
        <f t="shared" si="334"/>
        <v>9.6212807955300406E-3</v>
      </c>
      <c r="S312" s="3"/>
    </row>
    <row r="313" spans="3:19" x14ac:dyDescent="0.25">
      <c r="C313" s="1">
        <f t="shared" si="281"/>
        <v>43775</v>
      </c>
      <c r="D313">
        <v>64227</v>
      </c>
      <c r="E313">
        <v>37463</v>
      </c>
      <c r="F313">
        <v>25737</v>
      </c>
      <c r="G313">
        <v>20041</v>
      </c>
      <c r="H313">
        <f>'Total Traffic'!D311-'Page Sessions'!D313</f>
        <v>65919</v>
      </c>
      <c r="I313" s="2">
        <f t="shared" si="276"/>
        <v>0.31203387983246922</v>
      </c>
      <c r="J313" s="2">
        <f t="shared" si="288"/>
        <v>-0.26826538024354341</v>
      </c>
      <c r="K313" s="2">
        <f>D313/'Total Traffic'!D311</f>
        <v>0.49349960813240512</v>
      </c>
      <c r="L313" s="5">
        <f t="shared" si="277"/>
        <v>0.58329051644946828</v>
      </c>
      <c r="M313" s="5">
        <f t="shared" si="278"/>
        <v>0.6869978378666951</v>
      </c>
      <c r="N313" s="5">
        <f t="shared" si="279"/>
        <v>0.77868438434938025</v>
      </c>
      <c r="O313" s="5">
        <f t="shared" si="289"/>
        <v>1.2244643342291806E-3</v>
      </c>
      <c r="P313" s="2">
        <f t="shared" ref="P313:R313" si="335">(L313/L306)-1</f>
        <v>3.4442068277322768E-3</v>
      </c>
      <c r="Q313" s="2">
        <f t="shared" si="335"/>
        <v>-0.26515518059859211</v>
      </c>
      <c r="R313" s="2">
        <f t="shared" si="335"/>
        <v>-7.6503153014108038E-3</v>
      </c>
      <c r="S313" s="3"/>
    </row>
    <row r="314" spans="3:19" x14ac:dyDescent="0.25">
      <c r="C314" s="1">
        <f t="shared" si="281"/>
        <v>43776</v>
      </c>
      <c r="D314">
        <v>62849</v>
      </c>
      <c r="E314">
        <v>37263</v>
      </c>
      <c r="F314">
        <v>25193</v>
      </c>
      <c r="G314">
        <v>19448</v>
      </c>
      <c r="H314">
        <f>'Total Traffic'!D312-'Page Sessions'!D314</f>
        <v>67356</v>
      </c>
      <c r="I314" s="2">
        <f t="shared" si="276"/>
        <v>0.30944008655666755</v>
      </c>
      <c r="J314" s="2">
        <f t="shared" si="288"/>
        <v>-6.4643066538009331E-3</v>
      </c>
      <c r="K314" s="2">
        <f>D314/'Total Traffic'!D312</f>
        <v>0.48269267693252949</v>
      </c>
      <c r="L314" s="5">
        <f t="shared" si="277"/>
        <v>0.59289726169071899</v>
      </c>
      <c r="M314" s="5">
        <f t="shared" si="278"/>
        <v>0.67608619810535919</v>
      </c>
      <c r="N314" s="5">
        <f t="shared" si="279"/>
        <v>0.77196046520858974</v>
      </c>
      <c r="O314" s="5">
        <f t="shared" si="289"/>
        <v>2.1364534653041556E-2</v>
      </c>
      <c r="P314" s="2">
        <f t="shared" ref="P314:R314" si="336">(L314/L307)-1</f>
        <v>-2.0033250909698985E-3</v>
      </c>
      <c r="Q314" s="2">
        <f t="shared" si="336"/>
        <v>-4.4251517883622249E-3</v>
      </c>
      <c r="R314" s="2">
        <f t="shared" si="336"/>
        <v>-4.4983569131740175E-5</v>
      </c>
      <c r="S314" s="3"/>
    </row>
    <row r="315" spans="3:19" x14ac:dyDescent="0.25">
      <c r="C315" s="1">
        <f t="shared" si="281"/>
        <v>43777</v>
      </c>
      <c r="D315">
        <v>62251</v>
      </c>
      <c r="E315">
        <v>36472</v>
      </c>
      <c r="F315">
        <v>24487</v>
      </c>
      <c r="G315">
        <v>8148</v>
      </c>
      <c r="H315">
        <f>'Total Traffic'!D313-'Page Sessions'!D315</f>
        <v>68091</v>
      </c>
      <c r="I315" s="2">
        <f t="shared" si="276"/>
        <v>0.13088946362307433</v>
      </c>
      <c r="J315" s="2">
        <f t="shared" si="288"/>
        <v>-0.57682063416786744</v>
      </c>
      <c r="K315" s="2">
        <f>D315/'Total Traffic'!D313</f>
        <v>0.47759739761550385</v>
      </c>
      <c r="L315" s="5">
        <f t="shared" si="277"/>
        <v>0.58588617050328506</v>
      </c>
      <c r="M315" s="5">
        <f t="shared" si="278"/>
        <v>0.67139175257731953</v>
      </c>
      <c r="N315" s="5">
        <f t="shared" si="279"/>
        <v>0.3327479887287132</v>
      </c>
      <c r="O315" s="5">
        <f t="shared" si="289"/>
        <v>-3.1622561887707845E-2</v>
      </c>
      <c r="P315" s="2">
        <f t="shared" ref="P315:R315" si="337">(L315/L308)-1</f>
        <v>1.3639956139948062E-3</v>
      </c>
      <c r="Q315" s="2">
        <f t="shared" si="337"/>
        <v>-1.1318126344863177E-2</v>
      </c>
      <c r="R315" s="2">
        <f t="shared" si="337"/>
        <v>-0.57255923412768972</v>
      </c>
      <c r="S315" s="3"/>
    </row>
    <row r="316" spans="3:19" x14ac:dyDescent="0.25">
      <c r="C316" s="1">
        <f t="shared" si="281"/>
        <v>43778</v>
      </c>
      <c r="D316">
        <v>64611</v>
      </c>
      <c r="E316">
        <v>38637</v>
      </c>
      <c r="F316">
        <v>26957</v>
      </c>
      <c r="G316">
        <v>21285</v>
      </c>
      <c r="H316">
        <f>'Total Traffic'!D314-'Page Sessions'!D316</f>
        <v>66022</v>
      </c>
      <c r="I316" s="2">
        <f t="shared" si="276"/>
        <v>0.32943306867251704</v>
      </c>
      <c r="J316" s="2">
        <f t="shared" si="288"/>
        <v>4.693023047539624E-2</v>
      </c>
      <c r="K316" s="2">
        <f>D316/'Total Traffic'!D314</f>
        <v>0.4945993738182542</v>
      </c>
      <c r="L316" s="5">
        <f t="shared" si="277"/>
        <v>0.59799414960300878</v>
      </c>
      <c r="M316" s="5">
        <f t="shared" si="278"/>
        <v>0.69769909672075991</v>
      </c>
      <c r="N316" s="5">
        <f t="shared" si="279"/>
        <v>0.78959082984011575</v>
      </c>
      <c r="O316" s="5">
        <f t="shared" si="289"/>
        <v>2.764677863653997E-2</v>
      </c>
      <c r="P316" s="2">
        <f t="shared" ref="P316:R316" si="338">(L316/L309)-1</f>
        <v>-2.4860860098855353E-3</v>
      </c>
      <c r="Q316" s="2">
        <f t="shared" si="338"/>
        <v>2.4524628388084002E-2</v>
      </c>
      <c r="R316" s="2">
        <f t="shared" si="338"/>
        <v>2.4416052871744975E-2</v>
      </c>
      <c r="S316" s="3"/>
    </row>
    <row r="317" spans="3:19" x14ac:dyDescent="0.25">
      <c r="C317" s="1">
        <f t="shared" si="281"/>
        <v>43779</v>
      </c>
      <c r="D317">
        <v>64342</v>
      </c>
      <c r="E317">
        <v>37048</v>
      </c>
      <c r="F317">
        <v>25803</v>
      </c>
      <c r="G317">
        <v>20608</v>
      </c>
      <c r="H317">
        <f>'Total Traffic'!D315-'Page Sessions'!D317</f>
        <v>66276</v>
      </c>
      <c r="I317" s="2">
        <f t="shared" si="276"/>
        <v>0.32028845854962545</v>
      </c>
      <c r="J317" s="2">
        <f t="shared" si="288"/>
        <v>7.7132493079934417E-3</v>
      </c>
      <c r="K317" s="2">
        <f>D317/'Total Traffic'!D315</f>
        <v>0.49259673245647612</v>
      </c>
      <c r="L317" s="5">
        <f t="shared" si="277"/>
        <v>0.57579807901526214</v>
      </c>
      <c r="M317" s="5">
        <f t="shared" si="278"/>
        <v>0.69647484344633992</v>
      </c>
      <c r="N317" s="5">
        <f t="shared" si="279"/>
        <v>0.79866682168740066</v>
      </c>
      <c r="O317" s="5">
        <f t="shared" si="289"/>
        <v>3.0765720489841719E-2</v>
      </c>
      <c r="P317" s="2">
        <f t="shared" ref="P317:R317" si="339">(L317/L310)-1</f>
        <v>-1.9576873909192494E-2</v>
      </c>
      <c r="Q317" s="2">
        <f t="shared" si="339"/>
        <v>1.6788416040129928E-2</v>
      </c>
      <c r="R317" s="2">
        <f t="shared" si="339"/>
        <v>1.0864237039523106E-2</v>
      </c>
      <c r="S317" s="3"/>
    </row>
    <row r="318" spans="3:19" x14ac:dyDescent="0.25">
      <c r="C318" s="1">
        <f t="shared" si="281"/>
        <v>43780</v>
      </c>
      <c r="D318">
        <v>64539</v>
      </c>
      <c r="E318">
        <v>38452</v>
      </c>
      <c r="F318">
        <v>25885</v>
      </c>
      <c r="G318">
        <v>20381</v>
      </c>
      <c r="H318">
        <f>'Total Traffic'!D316-'Page Sessions'!D318</f>
        <v>66453</v>
      </c>
      <c r="I318" s="2">
        <f t="shared" si="276"/>
        <v>0.31579355118610453</v>
      </c>
      <c r="J318" s="2">
        <f t="shared" si="288"/>
        <v>1.1612517425057201E-2</v>
      </c>
      <c r="K318" s="2">
        <f>D318/'Total Traffic'!D316</f>
        <v>0.49269421033345545</v>
      </c>
      <c r="L318" s="5">
        <f t="shared" si="277"/>
        <v>0.59579479074668029</v>
      </c>
      <c r="M318" s="5">
        <f t="shared" si="278"/>
        <v>0.67317694788307503</v>
      </c>
      <c r="N318" s="5">
        <f t="shared" si="279"/>
        <v>0.78736720108170755</v>
      </c>
      <c r="O318" s="5">
        <f t="shared" si="289"/>
        <v>-2.0374727119831793E-4</v>
      </c>
      <c r="P318" s="2">
        <f t="shared" ref="P318:R318" si="340">(L318/L311)-1</f>
        <v>2.777319154001634E-2</v>
      </c>
      <c r="Q318" s="2">
        <f t="shared" si="340"/>
        <v>-2.1950080164264918E-2</v>
      </c>
      <c r="R318" s="2">
        <f t="shared" si="340"/>
        <v>6.365841593845234E-3</v>
      </c>
      <c r="S318" s="3"/>
    </row>
    <row r="319" spans="3:19" x14ac:dyDescent="0.25">
      <c r="C319" s="1">
        <f t="shared" si="281"/>
        <v>43781</v>
      </c>
      <c r="D319">
        <v>64038</v>
      </c>
      <c r="E319">
        <v>37391</v>
      </c>
      <c r="F319">
        <v>25119</v>
      </c>
      <c r="G319">
        <v>19683</v>
      </c>
      <c r="H319">
        <f>'Total Traffic'!D317-'Page Sessions'!D319</f>
        <v>66149</v>
      </c>
      <c r="I319" s="2">
        <f t="shared" si="276"/>
        <v>0.30736437740091821</v>
      </c>
      <c r="J319" s="2">
        <f t="shared" si="288"/>
        <v>-4.159469425690443E-2</v>
      </c>
      <c r="K319" s="2">
        <f>D319/'Total Traffic'!D317</f>
        <v>0.49189243165600249</v>
      </c>
      <c r="L319" s="5">
        <f t="shared" si="277"/>
        <v>0.5838876916830632</v>
      </c>
      <c r="M319" s="5">
        <f t="shared" si="278"/>
        <v>0.67179267738225779</v>
      </c>
      <c r="N319" s="5">
        <f t="shared" si="279"/>
        <v>0.78359011107130061</v>
      </c>
      <c r="O319" s="5">
        <f t="shared" si="289"/>
        <v>3.9735355594909594E-2</v>
      </c>
      <c r="P319" s="2">
        <f t="shared" ref="P319:R319" si="341">(L319/L312)-1</f>
        <v>-8.4883547049048325E-3</v>
      </c>
      <c r="Q319" s="2">
        <f t="shared" si="341"/>
        <v>-3.2679236700326242E-2</v>
      </c>
      <c r="R319" s="2">
        <f t="shared" si="341"/>
        <v>-7.34530919332399E-4</v>
      </c>
      <c r="S319" s="3"/>
    </row>
    <row r="320" spans="3:19" x14ac:dyDescent="0.25">
      <c r="C320" s="1">
        <f t="shared" si="281"/>
        <v>43782</v>
      </c>
      <c r="D320">
        <v>63719</v>
      </c>
      <c r="E320">
        <v>36542</v>
      </c>
      <c r="F320">
        <v>25466</v>
      </c>
      <c r="G320">
        <v>19962</v>
      </c>
      <c r="H320">
        <f>'Total Traffic'!D318-'Page Sessions'!D320</f>
        <v>66800</v>
      </c>
      <c r="I320" s="2">
        <f t="shared" si="276"/>
        <v>0.31328175269542835</v>
      </c>
      <c r="J320" s="2">
        <f t="shared" si="288"/>
        <v>3.9991582440634943E-3</v>
      </c>
      <c r="K320" s="2">
        <f>D320/'Total Traffic'!D318</f>
        <v>0.48819712072571808</v>
      </c>
      <c r="L320" s="5">
        <f t="shared" si="277"/>
        <v>0.57348671510852334</v>
      </c>
      <c r="M320" s="5">
        <f t="shared" si="278"/>
        <v>0.69689672158064697</v>
      </c>
      <c r="N320" s="5">
        <f t="shared" si="279"/>
        <v>0.7838686876619807</v>
      </c>
      <c r="O320" s="5">
        <f t="shared" si="289"/>
        <v>-1.0744663864584836E-2</v>
      </c>
      <c r="P320" s="2">
        <f t="shared" ref="P320:R320" si="342">(L320/L313)-1</f>
        <v>-1.6807750279605793E-2</v>
      </c>
      <c r="Q320" s="2">
        <f t="shared" si="342"/>
        <v>1.4408900826661242E-2</v>
      </c>
      <c r="R320" s="2">
        <f t="shared" si="342"/>
        <v>6.6577722846363763E-3</v>
      </c>
      <c r="S320" s="3"/>
    </row>
    <row r="321" spans="3:19" x14ac:dyDescent="0.25">
      <c r="C321" s="1">
        <f t="shared" si="281"/>
        <v>43783</v>
      </c>
      <c r="D321">
        <v>62994</v>
      </c>
      <c r="E321">
        <v>36870</v>
      </c>
      <c r="F321">
        <v>25042</v>
      </c>
      <c r="G321">
        <v>19410</v>
      </c>
      <c r="H321">
        <f>'Total Traffic'!D319-'Page Sessions'!D321</f>
        <v>67700</v>
      </c>
      <c r="I321" s="2">
        <f t="shared" si="276"/>
        <v>0.308124583293647</v>
      </c>
      <c r="J321" s="2">
        <f t="shared" si="288"/>
        <v>-4.2512373805829728E-3</v>
      </c>
      <c r="K321" s="2">
        <f>D321/'Total Traffic'!D319</f>
        <v>0.48199611305798279</v>
      </c>
      <c r="L321" s="5">
        <f t="shared" si="277"/>
        <v>0.58529383750833408</v>
      </c>
      <c r="M321" s="5">
        <f t="shared" si="278"/>
        <v>0.67919717927854628</v>
      </c>
      <c r="N321" s="5">
        <f t="shared" si="279"/>
        <v>0.77509783563613133</v>
      </c>
      <c r="O321" s="5">
        <f t="shared" si="289"/>
        <v>-1.4430794330116958E-3</v>
      </c>
      <c r="P321" s="2">
        <f t="shared" ref="P321:R321" si="343">(L321/L314)-1</f>
        <v>-1.2824185021031886E-2</v>
      </c>
      <c r="Q321" s="2">
        <f t="shared" si="343"/>
        <v>4.6014564147369708E-3</v>
      </c>
      <c r="R321" s="2">
        <f t="shared" si="343"/>
        <v>4.0641594601529274E-3</v>
      </c>
      <c r="S321" s="3"/>
    </row>
    <row r="322" spans="3:19" x14ac:dyDescent="0.25">
      <c r="C322" s="1">
        <f t="shared" si="281"/>
        <v>43784</v>
      </c>
      <c r="D322">
        <v>63842</v>
      </c>
      <c r="E322">
        <v>37705</v>
      </c>
      <c r="F322">
        <v>25827</v>
      </c>
      <c r="G322">
        <v>20219</v>
      </c>
      <c r="H322">
        <f>'Total Traffic'!D320-'Page Sessions'!D322</f>
        <v>66688</v>
      </c>
      <c r="I322" s="2">
        <f t="shared" si="276"/>
        <v>0.31670373735158674</v>
      </c>
      <c r="J322" s="2">
        <f t="shared" si="288"/>
        <v>1.4196274366560662</v>
      </c>
      <c r="K322" s="2">
        <f>D322/'Total Traffic'!D320</f>
        <v>0.48909829158047957</v>
      </c>
      <c r="L322" s="5">
        <f t="shared" si="277"/>
        <v>0.5905986654553429</v>
      </c>
      <c r="M322" s="5">
        <f t="shared" si="278"/>
        <v>0.684975467444636</v>
      </c>
      <c r="N322" s="5">
        <f t="shared" si="279"/>
        <v>0.78286289541952225</v>
      </c>
      <c r="O322" s="5">
        <f t="shared" si="289"/>
        <v>2.4080729967114856E-2</v>
      </c>
      <c r="P322" s="2">
        <f t="shared" ref="P322:R322" si="344">(L322/L315)-1</f>
        <v>8.0433626689118132E-3</v>
      </c>
      <c r="Q322" s="2">
        <f t="shared" si="344"/>
        <v>2.0232174159381167E-2</v>
      </c>
      <c r="R322" s="2">
        <f t="shared" si="344"/>
        <v>1.3527201423831419</v>
      </c>
      <c r="S322" s="3"/>
    </row>
    <row r="323" spans="3:19" x14ac:dyDescent="0.25">
      <c r="C323" s="1">
        <f t="shared" si="281"/>
        <v>43785</v>
      </c>
      <c r="D323">
        <v>63908</v>
      </c>
      <c r="E323">
        <v>36945</v>
      </c>
      <c r="F323">
        <v>25813</v>
      </c>
      <c r="G323">
        <v>20451</v>
      </c>
      <c r="H323">
        <f>'Total Traffic'!D321-'Page Sessions'!D323</f>
        <v>66919</v>
      </c>
      <c r="I323" s="2">
        <f t="shared" si="276"/>
        <v>0.32000688489703949</v>
      </c>
      <c r="J323" s="2">
        <f t="shared" si="288"/>
        <v>-2.8613350242771007E-2</v>
      </c>
      <c r="K323" s="2">
        <f>D323/'Total Traffic'!D321</f>
        <v>0.48849243657654767</v>
      </c>
      <c r="L323" s="5">
        <f t="shared" si="277"/>
        <v>0.57809663891844532</v>
      </c>
      <c r="M323" s="5">
        <f t="shared" si="278"/>
        <v>0.69868723778589792</v>
      </c>
      <c r="N323" s="5">
        <f t="shared" si="279"/>
        <v>0.79227521016542057</v>
      </c>
      <c r="O323" s="5">
        <f t="shared" si="289"/>
        <v>-1.2347240140159532E-2</v>
      </c>
      <c r="P323" s="2">
        <f t="shared" ref="P323:R323" si="345">(L323/L316)-1</f>
        <v>-3.3273754764612473E-2</v>
      </c>
      <c r="Q323" s="2">
        <f t="shared" si="345"/>
        <v>1.416285429897135E-3</v>
      </c>
      <c r="R323" s="2">
        <f t="shared" si="345"/>
        <v>3.3997106144816325E-3</v>
      </c>
      <c r="S323" s="3"/>
    </row>
    <row r="324" spans="3:19" x14ac:dyDescent="0.25">
      <c r="C324" s="1">
        <f t="shared" si="281"/>
        <v>43786</v>
      </c>
      <c r="D324">
        <v>64990</v>
      </c>
      <c r="E324">
        <v>38259</v>
      </c>
      <c r="F324">
        <v>26758</v>
      </c>
      <c r="G324">
        <v>21168</v>
      </c>
      <c r="H324">
        <f>'Total Traffic'!D322-'Page Sessions'!D324</f>
        <v>65304</v>
      </c>
      <c r="I324" s="2">
        <f t="shared" si="276"/>
        <v>0.32571164794583785</v>
      </c>
      <c r="J324" s="2">
        <f t="shared" si="288"/>
        <v>1.6932203616609964E-2</v>
      </c>
      <c r="K324" s="2">
        <f>D324/'Total Traffic'!D322</f>
        <v>0.49879503277203863</v>
      </c>
      <c r="L324" s="5">
        <f t="shared" si="277"/>
        <v>0.58869056777965845</v>
      </c>
      <c r="M324" s="5">
        <f t="shared" si="278"/>
        <v>0.69939099296897467</v>
      </c>
      <c r="N324" s="5">
        <f t="shared" si="279"/>
        <v>0.79109051498617233</v>
      </c>
      <c r="O324" s="5">
        <f t="shared" si="289"/>
        <v>1.2582909928478214E-2</v>
      </c>
      <c r="P324" s="2">
        <f t="shared" ref="P324:R324" si="346">(L324/L317)-1</f>
        <v>2.2390642196037147E-2</v>
      </c>
      <c r="Q324" s="2">
        <f t="shared" si="346"/>
        <v>4.1870134292358863E-3</v>
      </c>
      <c r="R324" s="2">
        <f t="shared" si="346"/>
        <v>-9.4861918581033988E-3</v>
      </c>
      <c r="S324" s="3"/>
    </row>
    <row r="325" spans="3:19" x14ac:dyDescent="0.25">
      <c r="C325" s="1">
        <f t="shared" si="281"/>
        <v>43787</v>
      </c>
      <c r="D325">
        <v>64794</v>
      </c>
      <c r="E325">
        <v>37697</v>
      </c>
      <c r="F325">
        <v>26003</v>
      </c>
      <c r="G325">
        <v>20183</v>
      </c>
      <c r="H325">
        <f>'Total Traffic'!D323-'Page Sessions'!D325</f>
        <v>65263</v>
      </c>
      <c r="I325" s="2">
        <f t="shared" ref="I325:I388" si="347">G325/D325</f>
        <v>0.31149489150229959</v>
      </c>
      <c r="J325" s="2">
        <f t="shared" si="288"/>
        <v>-1.3612246569505326E-2</v>
      </c>
      <c r="K325" s="2">
        <f>D325/'Total Traffic'!D323</f>
        <v>0.49819694441667883</v>
      </c>
      <c r="L325" s="5">
        <f t="shared" ref="L325:L388" si="348">E325/D325</f>
        <v>0.58179769731765285</v>
      </c>
      <c r="M325" s="5">
        <f t="shared" ref="M325:M388" si="349">F325/E325</f>
        <v>0.68978963843276653</v>
      </c>
      <c r="N325" s="5">
        <f t="shared" ref="N325:N388" si="350">G325/F325</f>
        <v>0.77617967157635659</v>
      </c>
      <c r="O325" s="5">
        <f t="shared" si="289"/>
        <v>1.1168659927014657E-2</v>
      </c>
      <c r="P325" s="2">
        <f t="shared" ref="P325:R325" si="351">(L325/L318)-1</f>
        <v>-2.3493145033184337E-2</v>
      </c>
      <c r="Q325" s="2">
        <f t="shared" si="351"/>
        <v>2.4678044312023806E-2</v>
      </c>
      <c r="R325" s="2">
        <f t="shared" si="351"/>
        <v>-1.4208782750895876E-2</v>
      </c>
      <c r="S325" s="3"/>
    </row>
    <row r="326" spans="3:19" x14ac:dyDescent="0.25">
      <c r="C326" s="1">
        <f t="shared" ref="C326:C389" si="352">C325+1</f>
        <v>43788</v>
      </c>
      <c r="D326">
        <v>62879</v>
      </c>
      <c r="E326">
        <v>37526</v>
      </c>
      <c r="F326">
        <v>25213</v>
      </c>
      <c r="G326">
        <v>19471</v>
      </c>
      <c r="H326">
        <f>'Total Traffic'!D324-'Page Sessions'!D326</f>
        <v>68038</v>
      </c>
      <c r="I326" s="2">
        <f t="shared" si="347"/>
        <v>0.30965823247825186</v>
      </c>
      <c r="J326" s="2">
        <f t="shared" si="288"/>
        <v>7.4629828502916773E-3</v>
      </c>
      <c r="K326" s="2">
        <f>D326/'Total Traffic'!D324</f>
        <v>0.480296676520238</v>
      </c>
      <c r="L326" s="5">
        <f t="shared" si="348"/>
        <v>0.59679702285341685</v>
      </c>
      <c r="M326" s="5">
        <f t="shared" si="349"/>
        <v>0.67188082929169113</v>
      </c>
      <c r="N326" s="5">
        <f t="shared" si="350"/>
        <v>0.77226034188712167</v>
      </c>
      <c r="O326" s="5">
        <f t="shared" si="289"/>
        <v>-2.357376204534456E-2</v>
      </c>
      <c r="P326" s="2">
        <f t="shared" ref="P326:R326" si="353">(L326/L319)-1</f>
        <v>2.2109270933837299E-2</v>
      </c>
      <c r="Q326" s="2">
        <f t="shared" si="353"/>
        <v>1.3121891976686229E-4</v>
      </c>
      <c r="R326" s="2">
        <f t="shared" si="353"/>
        <v>-1.4458795515794876E-2</v>
      </c>
      <c r="S326" s="3"/>
    </row>
    <row r="327" spans="3:19" x14ac:dyDescent="0.25">
      <c r="C327" s="1">
        <f t="shared" si="352"/>
        <v>43789</v>
      </c>
      <c r="D327">
        <v>64674</v>
      </c>
      <c r="E327">
        <v>37497</v>
      </c>
      <c r="F327">
        <v>25569</v>
      </c>
      <c r="G327">
        <v>20120</v>
      </c>
      <c r="H327">
        <f>'Total Traffic'!D325-'Page Sessions'!D327</f>
        <v>65666</v>
      </c>
      <c r="I327" s="2">
        <f t="shared" si="347"/>
        <v>0.3110987413798435</v>
      </c>
      <c r="J327" s="2">
        <f t="shared" si="288"/>
        <v>-6.9682044894174844E-3</v>
      </c>
      <c r="K327" s="2">
        <f>D327/'Total Traffic'!D325</f>
        <v>0.496194568052785</v>
      </c>
      <c r="L327" s="5">
        <f t="shared" si="348"/>
        <v>0.57978476667594392</v>
      </c>
      <c r="M327" s="5">
        <f t="shared" si="349"/>
        <v>0.68189455156412515</v>
      </c>
      <c r="N327" s="5">
        <f t="shared" si="350"/>
        <v>0.78689037506355353</v>
      </c>
      <c r="O327" s="5">
        <f t="shared" si="289"/>
        <v>1.6381594621407203E-2</v>
      </c>
      <c r="P327" s="2">
        <f t="shared" ref="P327:R327" si="354">(L327/L320)-1</f>
        <v>1.0982035680161761E-2</v>
      </c>
      <c r="Q327" s="2">
        <f t="shared" si="354"/>
        <v>-2.1527106602675761E-2</v>
      </c>
      <c r="R327" s="2">
        <f t="shared" si="354"/>
        <v>3.8548387620707114E-3</v>
      </c>
      <c r="S327" s="3"/>
    </row>
    <row r="328" spans="3:19" x14ac:dyDescent="0.25">
      <c r="C328" s="1">
        <f t="shared" si="352"/>
        <v>43790</v>
      </c>
      <c r="D328">
        <v>63563</v>
      </c>
      <c r="E328">
        <v>37928</v>
      </c>
      <c r="F328">
        <v>35501</v>
      </c>
      <c r="G328">
        <v>27559</v>
      </c>
      <c r="H328">
        <f>'Total Traffic'!D326-'Page Sessions'!D328</f>
        <v>66584</v>
      </c>
      <c r="I328" s="2">
        <f t="shared" si="347"/>
        <v>0.43356984409168858</v>
      </c>
      <c r="J328" s="2">
        <f t="shared" si="288"/>
        <v>0.40712512924841993</v>
      </c>
      <c r="K328" s="2">
        <f>D328/'Total Traffic'!D326</f>
        <v>0.48839389305938669</v>
      </c>
      <c r="L328" s="5">
        <f t="shared" si="348"/>
        <v>0.59669933766499383</v>
      </c>
      <c r="M328" s="5">
        <f t="shared" si="349"/>
        <v>0.93601033537228429</v>
      </c>
      <c r="N328" s="5">
        <f t="shared" si="350"/>
        <v>0.77628799188755249</v>
      </c>
      <c r="O328" s="5">
        <f t="shared" si="289"/>
        <v>1.3273509532709227E-2</v>
      </c>
      <c r="P328" s="2">
        <f t="shared" ref="P328:R328" si="355">(L328/L321)-1</f>
        <v>1.9486793514202017E-2</v>
      </c>
      <c r="Q328" s="2">
        <f t="shared" si="355"/>
        <v>0.3781128130810687</v>
      </c>
      <c r="R328" s="2">
        <f t="shared" si="355"/>
        <v>1.5354916459602297E-3</v>
      </c>
      <c r="S328" s="3"/>
    </row>
    <row r="329" spans="3:19" x14ac:dyDescent="0.25">
      <c r="C329" s="1">
        <f t="shared" si="352"/>
        <v>43791</v>
      </c>
      <c r="D329">
        <v>62697</v>
      </c>
      <c r="E329">
        <v>35818</v>
      </c>
      <c r="F329">
        <v>24571</v>
      </c>
      <c r="G329">
        <v>19615</v>
      </c>
      <c r="H329">
        <f>'Total Traffic'!D327-'Page Sessions'!D329</f>
        <v>68032</v>
      </c>
      <c r="I329" s="2">
        <f t="shared" si="347"/>
        <v>0.31285388455587987</v>
      </c>
      <c r="J329" s="2">
        <f t="shared" si="288"/>
        <v>-1.2156006834339927E-2</v>
      </c>
      <c r="K329" s="2">
        <f>D329/'Total Traffic'!D327</f>
        <v>0.47959519310940957</v>
      </c>
      <c r="L329" s="5">
        <f t="shared" si="348"/>
        <v>0.57128730242276349</v>
      </c>
      <c r="M329" s="5">
        <f t="shared" si="349"/>
        <v>0.68599586799932999</v>
      </c>
      <c r="N329" s="5">
        <f t="shared" si="350"/>
        <v>0.79829880753734073</v>
      </c>
      <c r="O329" s="5">
        <f t="shared" si="289"/>
        <v>-1.9429833705535082E-2</v>
      </c>
      <c r="P329" s="2">
        <f t="shared" ref="P329:R329" si="356">(L329/L322)-1</f>
        <v>-3.2697945596762645E-2</v>
      </c>
      <c r="Q329" s="2">
        <f t="shared" si="356"/>
        <v>1.4896891979221394E-3</v>
      </c>
      <c r="R329" s="2">
        <f t="shared" si="356"/>
        <v>1.9717261104253314E-2</v>
      </c>
      <c r="S329" s="3"/>
    </row>
    <row r="330" spans="3:19" x14ac:dyDescent="0.25">
      <c r="C330" s="1">
        <f t="shared" si="352"/>
        <v>43792</v>
      </c>
      <c r="D330">
        <v>64007</v>
      </c>
      <c r="E330">
        <v>37572</v>
      </c>
      <c r="F330">
        <v>25338</v>
      </c>
      <c r="G330">
        <v>19593</v>
      </c>
      <c r="H330">
        <f>'Total Traffic'!D328-'Page Sessions'!D330</f>
        <v>66941</v>
      </c>
      <c r="I330" s="2">
        <f t="shared" si="347"/>
        <v>0.30610714453106691</v>
      </c>
      <c r="J330" s="2">
        <f t="shared" si="288"/>
        <v>-4.3435754110242808E-2</v>
      </c>
      <c r="K330" s="2">
        <f>D330/'Total Traffic'!D328</f>
        <v>0.48879707975685005</v>
      </c>
      <c r="L330" s="5">
        <f t="shared" si="348"/>
        <v>0.58699829706125894</v>
      </c>
      <c r="M330" s="5">
        <f t="shared" si="349"/>
        <v>0.67438518045352924</v>
      </c>
      <c r="N330" s="5">
        <f t="shared" si="350"/>
        <v>0.773265451101113</v>
      </c>
      <c r="O330" s="5">
        <f t="shared" si="289"/>
        <v>6.2363950287003256E-4</v>
      </c>
      <c r="P330" s="2">
        <f t="shared" ref="P330:R330" si="357">(L330/L323)-1</f>
        <v>1.5398218123993335E-2</v>
      </c>
      <c r="Q330" s="2">
        <f t="shared" si="357"/>
        <v>-3.478245489266496E-2</v>
      </c>
      <c r="R330" s="2">
        <f t="shared" si="357"/>
        <v>-2.3993883464230148E-2</v>
      </c>
      <c r="S330" s="3"/>
    </row>
    <row r="331" spans="3:19" x14ac:dyDescent="0.25">
      <c r="C331" s="1">
        <f t="shared" si="352"/>
        <v>43793</v>
      </c>
      <c r="D331">
        <v>62209</v>
      </c>
      <c r="E331">
        <v>36522</v>
      </c>
      <c r="F331">
        <v>24517</v>
      </c>
      <c r="G331">
        <v>18946</v>
      </c>
      <c r="H331">
        <f>'Total Traffic'!D329-'Page Sessions'!D331</f>
        <v>68649</v>
      </c>
      <c r="I331" s="2">
        <f t="shared" si="347"/>
        <v>0.30455400344001671</v>
      </c>
      <c r="J331" s="2">
        <f t="shared" si="288"/>
        <v>-6.4958206558641152E-2</v>
      </c>
      <c r="K331" s="2">
        <f>D331/'Total Traffic'!D329</f>
        <v>0.47539317428051781</v>
      </c>
      <c r="L331" s="5">
        <f t="shared" si="348"/>
        <v>0.5870854699480782</v>
      </c>
      <c r="M331" s="5">
        <f t="shared" si="349"/>
        <v>0.67129401456656257</v>
      </c>
      <c r="N331" s="5">
        <f t="shared" si="350"/>
        <v>0.77276991475302848</v>
      </c>
      <c r="O331" s="5">
        <f t="shared" si="289"/>
        <v>-4.6916783355811842E-2</v>
      </c>
      <c r="P331" s="2">
        <f t="shared" ref="P331:R331" si="358">(L331/L324)-1</f>
        <v>-2.7265560541154255E-3</v>
      </c>
      <c r="Q331" s="2">
        <f t="shared" si="358"/>
        <v>-4.0173491916357107E-2</v>
      </c>
      <c r="R331" s="2">
        <f t="shared" si="358"/>
        <v>-2.3158665015044599E-2</v>
      </c>
      <c r="S331" s="3"/>
    </row>
    <row r="332" spans="3:19" x14ac:dyDescent="0.25">
      <c r="C332" s="1">
        <f t="shared" si="352"/>
        <v>43794</v>
      </c>
      <c r="D332">
        <v>63161</v>
      </c>
      <c r="E332">
        <v>36980</v>
      </c>
      <c r="F332">
        <v>25575</v>
      </c>
      <c r="G332">
        <v>20452</v>
      </c>
      <c r="H332">
        <f>'Total Traffic'!D330-'Page Sessions'!D332</f>
        <v>67177</v>
      </c>
      <c r="I332" s="2">
        <f t="shared" si="347"/>
        <v>0.32380741280220388</v>
      </c>
      <c r="J332" s="2">
        <f t="shared" ref="J332:J395" si="359">(I332/I325)-1</f>
        <v>3.9527201362830056E-2</v>
      </c>
      <c r="K332" s="2">
        <f>D332/'Total Traffic'!D330</f>
        <v>0.48459390200862373</v>
      </c>
      <c r="L332" s="5">
        <f t="shared" si="348"/>
        <v>0.58548788017922448</v>
      </c>
      <c r="M332" s="5">
        <f t="shared" si="349"/>
        <v>0.69159004867495943</v>
      </c>
      <c r="N332" s="5">
        <f t="shared" si="350"/>
        <v>0.7996871945259042</v>
      </c>
      <c r="O332" s="5">
        <f t="shared" ref="O332:O395" si="360">(K332/K325)-1</f>
        <v>-2.7304548051739652E-2</v>
      </c>
      <c r="P332" s="2">
        <f t="shared" ref="P332:R332" si="361">(L332/L325)-1</f>
        <v>6.3427251063128409E-3</v>
      </c>
      <c r="Q332" s="2">
        <f t="shared" si="361"/>
        <v>2.610085947773122E-3</v>
      </c>
      <c r="R332" s="2">
        <f t="shared" si="361"/>
        <v>3.0286187348614435E-2</v>
      </c>
      <c r="S332" s="3"/>
    </row>
    <row r="333" spans="3:19" x14ac:dyDescent="0.25">
      <c r="C333" s="1">
        <f t="shared" si="352"/>
        <v>43795</v>
      </c>
      <c r="D333">
        <v>62339</v>
      </c>
      <c r="E333">
        <v>36979</v>
      </c>
      <c r="F333">
        <v>25633</v>
      </c>
      <c r="G333">
        <v>20124</v>
      </c>
      <c r="H333">
        <f>'Total Traffic'!D331-'Page Sessions'!D333</f>
        <v>68134</v>
      </c>
      <c r="I333" s="2">
        <f t="shared" si="347"/>
        <v>0.32281557291583118</v>
      </c>
      <c r="J333" s="2">
        <f t="shared" si="359"/>
        <v>4.2489877734813275E-2</v>
      </c>
      <c r="K333" s="2">
        <f>D333/'Total Traffic'!D331</f>
        <v>0.47779234017766126</v>
      </c>
      <c r="L333" s="5">
        <f t="shared" si="348"/>
        <v>0.59319206275365344</v>
      </c>
      <c r="M333" s="5">
        <f t="shared" si="349"/>
        <v>0.69317720868601096</v>
      </c>
      <c r="N333" s="5">
        <f t="shared" si="350"/>
        <v>0.78508173058167208</v>
      </c>
      <c r="O333" s="5">
        <f t="shared" si="360"/>
        <v>-5.2141446422672155E-3</v>
      </c>
      <c r="P333" s="2">
        <f t="shared" ref="P333:R333" si="362">(L333/L326)-1</f>
        <v>-6.040512874087911E-3</v>
      </c>
      <c r="Q333" s="2">
        <f t="shared" si="362"/>
        <v>3.1696661767788292E-2</v>
      </c>
      <c r="R333" s="2">
        <f t="shared" si="362"/>
        <v>1.6602417603394759E-2</v>
      </c>
      <c r="S333" s="3"/>
    </row>
    <row r="334" spans="3:19" x14ac:dyDescent="0.25">
      <c r="C334" s="1">
        <f t="shared" si="352"/>
        <v>43796</v>
      </c>
      <c r="D334">
        <v>63413</v>
      </c>
      <c r="E334">
        <v>37445</v>
      </c>
      <c r="F334">
        <v>25556</v>
      </c>
      <c r="G334">
        <v>19762</v>
      </c>
      <c r="H334">
        <f>'Total Traffic'!D332-'Page Sessions'!D334</f>
        <v>66693</v>
      </c>
      <c r="I334" s="2">
        <f t="shared" si="347"/>
        <v>0.31163956917351332</v>
      </c>
      <c r="J334" s="2">
        <f t="shared" si="359"/>
        <v>1.7384441713619303E-3</v>
      </c>
      <c r="K334" s="2">
        <f>D334/'Total Traffic'!D332</f>
        <v>0.48739489339461672</v>
      </c>
      <c r="L334" s="5">
        <f t="shared" si="348"/>
        <v>0.59049406273161653</v>
      </c>
      <c r="M334" s="5">
        <f t="shared" si="349"/>
        <v>0.68249432501001472</v>
      </c>
      <c r="N334" s="5">
        <f t="shared" si="350"/>
        <v>0.77328220378776025</v>
      </c>
      <c r="O334" s="5">
        <f t="shared" si="360"/>
        <v>-1.7734322833683591E-2</v>
      </c>
      <c r="P334" s="2">
        <f t="shared" ref="P334:R334" si="363">(L334/L327)-1</f>
        <v>1.8471158042098645E-2</v>
      </c>
      <c r="Q334" s="2">
        <f t="shared" si="363"/>
        <v>8.7956920100595859E-4</v>
      </c>
      <c r="R334" s="2">
        <f t="shared" si="363"/>
        <v>-1.7293604937910434E-2</v>
      </c>
      <c r="S334" s="3"/>
    </row>
    <row r="335" spans="3:19" x14ac:dyDescent="0.25">
      <c r="C335" s="1">
        <f t="shared" si="352"/>
        <v>43797</v>
      </c>
      <c r="D335">
        <v>64220</v>
      </c>
      <c r="E335">
        <v>36920</v>
      </c>
      <c r="F335">
        <v>25570</v>
      </c>
      <c r="G335">
        <v>19814</v>
      </c>
      <c r="H335">
        <f>'Total Traffic'!D333-'Page Sessions'!D335</f>
        <v>66416</v>
      </c>
      <c r="I335" s="2">
        <f t="shared" si="347"/>
        <v>0.3085331672376207</v>
      </c>
      <c r="J335" s="2">
        <f t="shared" si="359"/>
        <v>-0.28838877647502148</v>
      </c>
      <c r="K335" s="2">
        <f>D335/'Total Traffic'!D333</f>
        <v>0.49159496616552867</v>
      </c>
      <c r="L335" s="5">
        <f t="shared" si="348"/>
        <v>0.5748987854251012</v>
      </c>
      <c r="M335" s="5">
        <f t="shared" si="349"/>
        <v>0.69257854821235099</v>
      </c>
      <c r="N335" s="5">
        <f t="shared" si="350"/>
        <v>0.77489245209229562</v>
      </c>
      <c r="O335" s="5">
        <f t="shared" si="360"/>
        <v>6.55428569364358E-3</v>
      </c>
      <c r="P335" s="2">
        <f t="shared" ref="P335:R335" si="364">(L335/L328)-1</f>
        <v>-3.6535237872397541E-2</v>
      </c>
      <c r="Q335" s="2">
        <f t="shared" si="364"/>
        <v>-0.26007382393177514</v>
      </c>
      <c r="R335" s="2">
        <f t="shared" si="364"/>
        <v>-1.7977088526947016E-3</v>
      </c>
      <c r="S335" s="3"/>
    </row>
    <row r="336" spans="3:19" x14ac:dyDescent="0.25">
      <c r="C336" s="1">
        <f t="shared" si="352"/>
        <v>43798</v>
      </c>
      <c r="D336">
        <v>65206</v>
      </c>
      <c r="E336">
        <v>38601</v>
      </c>
      <c r="F336">
        <v>26553</v>
      </c>
      <c r="G336">
        <v>21128</v>
      </c>
      <c r="H336">
        <f>'Total Traffic'!D334-'Page Sessions'!D336</f>
        <v>65206</v>
      </c>
      <c r="I336" s="2">
        <f t="shared" si="347"/>
        <v>0.32401926203110143</v>
      </c>
      <c r="J336" s="2">
        <f t="shared" si="359"/>
        <v>3.5688792840375516E-2</v>
      </c>
      <c r="K336" s="2">
        <f>D336/'Total Traffic'!D334</f>
        <v>0.5</v>
      </c>
      <c r="L336" s="5">
        <f t="shared" si="348"/>
        <v>0.59198540011655365</v>
      </c>
      <c r="M336" s="5">
        <f t="shared" si="349"/>
        <v>0.68788373358203159</v>
      </c>
      <c r="N336" s="5">
        <f t="shared" si="350"/>
        <v>0.79569163559673106</v>
      </c>
      <c r="O336" s="5">
        <f t="shared" si="360"/>
        <v>4.254589533789499E-2</v>
      </c>
      <c r="P336" s="2">
        <f t="shared" ref="P336:R336" si="365">(L336/L329)-1</f>
        <v>3.6230627927510195E-2</v>
      </c>
      <c r="Q336" s="2">
        <f t="shared" si="365"/>
        <v>2.7520072215703184E-3</v>
      </c>
      <c r="R336" s="2">
        <f t="shared" si="365"/>
        <v>-3.2659098522926922E-3</v>
      </c>
      <c r="S336" s="3"/>
    </row>
    <row r="337" spans="3:19" x14ac:dyDescent="0.25">
      <c r="C337" s="1">
        <f t="shared" si="352"/>
        <v>43799</v>
      </c>
      <c r="D337">
        <v>63497</v>
      </c>
      <c r="E337">
        <v>37799</v>
      </c>
      <c r="F337">
        <v>25344</v>
      </c>
      <c r="G337">
        <v>19573</v>
      </c>
      <c r="H337">
        <f>'Total Traffic'!D335-'Page Sessions'!D337</f>
        <v>67130</v>
      </c>
      <c r="I337" s="2">
        <f t="shared" si="347"/>
        <v>0.30825078350158275</v>
      </c>
      <c r="J337" s="2">
        <f t="shared" si="359"/>
        <v>7.0029040772625617E-3</v>
      </c>
      <c r="K337" s="2">
        <f>D337/'Total Traffic'!D335</f>
        <v>0.4860939928192487</v>
      </c>
      <c r="L337" s="5">
        <f t="shared" si="348"/>
        <v>0.59528796636061543</v>
      </c>
      <c r="M337" s="5">
        <f t="shared" si="349"/>
        <v>0.67049392841080457</v>
      </c>
      <c r="N337" s="5">
        <f t="shared" si="350"/>
        <v>0.77229324494949492</v>
      </c>
      <c r="O337" s="5">
        <f t="shared" si="360"/>
        <v>-5.5300799647698407E-3</v>
      </c>
      <c r="P337" s="2">
        <f t="shared" ref="P337:R337" si="366">(L337/L330)-1</f>
        <v>1.4122135176299011E-2</v>
      </c>
      <c r="Q337" s="2">
        <f t="shared" si="366"/>
        <v>-5.7700734765668837E-3</v>
      </c>
      <c r="R337" s="2">
        <f t="shared" si="366"/>
        <v>-1.257273488985855E-3</v>
      </c>
      <c r="S337" s="3"/>
    </row>
    <row r="338" spans="3:19" x14ac:dyDescent="0.25">
      <c r="C338" s="1">
        <f t="shared" si="352"/>
        <v>43800</v>
      </c>
      <c r="D338">
        <v>62647</v>
      </c>
      <c r="E338">
        <v>36880</v>
      </c>
      <c r="F338">
        <v>25720</v>
      </c>
      <c r="G338">
        <v>20478</v>
      </c>
      <c r="H338">
        <f>'Total Traffic'!D336-'Page Sessions'!D338</f>
        <v>67652</v>
      </c>
      <c r="I338" s="2">
        <f t="shared" si="347"/>
        <v>0.3268791801682443</v>
      </c>
      <c r="J338" s="2">
        <f t="shared" si="359"/>
        <v>7.3304492720696279E-2</v>
      </c>
      <c r="K338" s="2">
        <f>D338/'Total Traffic'!D336</f>
        <v>0.4807941734011773</v>
      </c>
      <c r="L338" s="5">
        <f t="shared" si="348"/>
        <v>0.58869538844637415</v>
      </c>
      <c r="M338" s="5">
        <f t="shared" si="349"/>
        <v>0.6973969631236443</v>
      </c>
      <c r="N338" s="5">
        <f t="shared" si="350"/>
        <v>0.79618973561430795</v>
      </c>
      <c r="O338" s="5">
        <f t="shared" si="360"/>
        <v>1.1361120463779573E-2</v>
      </c>
      <c r="P338" s="2">
        <f t="shared" ref="P338:R338" si="367">(L338/L331)-1</f>
        <v>2.7422216707873037E-3</v>
      </c>
      <c r="Q338" s="2">
        <f t="shared" si="367"/>
        <v>3.8884524501437312E-2</v>
      </c>
      <c r="R338" s="2">
        <f t="shared" si="367"/>
        <v>3.030633104908631E-2</v>
      </c>
      <c r="S338" s="3"/>
    </row>
    <row r="339" spans="3:19" x14ac:dyDescent="0.25">
      <c r="C339" s="1">
        <f t="shared" si="352"/>
        <v>43801</v>
      </c>
      <c r="D339">
        <v>61433</v>
      </c>
      <c r="E339">
        <v>36773</v>
      </c>
      <c r="F339">
        <v>25351</v>
      </c>
      <c r="G339">
        <v>19915</v>
      </c>
      <c r="H339">
        <f>'Total Traffic'!D337-'Page Sessions'!D339</f>
        <v>69165</v>
      </c>
      <c r="I339" s="2">
        <f t="shared" si="347"/>
        <v>0.32417430371298811</v>
      </c>
      <c r="J339" s="2">
        <f t="shared" si="359"/>
        <v>1.1330528464719158E-3</v>
      </c>
      <c r="K339" s="2">
        <f>D339/'Total Traffic'!D337</f>
        <v>0.47039770900013783</v>
      </c>
      <c r="L339" s="5">
        <f t="shared" si="348"/>
        <v>0.59858707860596094</v>
      </c>
      <c r="M339" s="5">
        <f t="shared" si="349"/>
        <v>0.68939167323851736</v>
      </c>
      <c r="N339" s="5">
        <f t="shared" si="350"/>
        <v>0.78557058893140308</v>
      </c>
      <c r="O339" s="5">
        <f t="shared" si="360"/>
        <v>-2.9295030229730901E-2</v>
      </c>
      <c r="P339" s="2">
        <f t="shared" ref="P339:R339" si="368">(L339/L332)-1</f>
        <v>2.2373133364821607E-2</v>
      </c>
      <c r="Q339" s="2">
        <f t="shared" si="368"/>
        <v>-3.178726242018648E-3</v>
      </c>
      <c r="R339" s="2">
        <f t="shared" si="368"/>
        <v>-1.7652659303704632E-2</v>
      </c>
      <c r="S339" s="3"/>
    </row>
    <row r="340" spans="3:19" x14ac:dyDescent="0.25">
      <c r="C340" s="1">
        <f t="shared" si="352"/>
        <v>43802</v>
      </c>
      <c r="D340">
        <v>63665</v>
      </c>
      <c r="E340">
        <v>36989</v>
      </c>
      <c r="F340">
        <v>25089</v>
      </c>
      <c r="G340">
        <v>19827</v>
      </c>
      <c r="H340">
        <f>'Total Traffic'!D338-'Page Sessions'!D340</f>
        <v>66583</v>
      </c>
      <c r="I340" s="2">
        <f t="shared" si="347"/>
        <v>0.31142700070682477</v>
      </c>
      <c r="J340" s="2">
        <f t="shared" si="359"/>
        <v>-3.5278881084140901E-2</v>
      </c>
      <c r="K340" s="2">
        <f>D340/'Total Traffic'!D338</f>
        <v>0.48879829248817641</v>
      </c>
      <c r="L340" s="5">
        <f t="shared" si="348"/>
        <v>0.58099426686562472</v>
      </c>
      <c r="M340" s="5">
        <f t="shared" si="349"/>
        <v>0.67828273270431749</v>
      </c>
      <c r="N340" s="5">
        <f t="shared" si="350"/>
        <v>0.79026665072342461</v>
      </c>
      <c r="O340" s="5">
        <f t="shared" si="360"/>
        <v>2.3035012043982839E-2</v>
      </c>
      <c r="P340" s="2">
        <f t="shared" ref="P340:R340" si="369">(L340/L333)-1</f>
        <v>-2.0562978930307008E-2</v>
      </c>
      <c r="Q340" s="2">
        <f t="shared" si="369"/>
        <v>-2.1487255776812764E-2</v>
      </c>
      <c r="R340" s="2">
        <f t="shared" si="369"/>
        <v>6.6043062012295373E-3</v>
      </c>
      <c r="S340" s="3"/>
    </row>
    <row r="341" spans="3:19" x14ac:dyDescent="0.25">
      <c r="C341" s="1">
        <f t="shared" si="352"/>
        <v>43803</v>
      </c>
      <c r="D341">
        <v>62285</v>
      </c>
      <c r="E341">
        <v>37302</v>
      </c>
      <c r="F341">
        <v>25197</v>
      </c>
      <c r="G341">
        <v>19502</v>
      </c>
      <c r="H341">
        <f>'Total Traffic'!D339-'Page Sessions'!D341</f>
        <v>67828</v>
      </c>
      <c r="I341" s="2">
        <f t="shared" si="347"/>
        <v>0.31310909528779002</v>
      </c>
      <c r="J341" s="2">
        <f t="shared" si="359"/>
        <v>4.7154670319111691E-3</v>
      </c>
      <c r="K341" s="2">
        <f>D341/'Total Traffic'!D339</f>
        <v>0.47869928446811616</v>
      </c>
      <c r="L341" s="5">
        <f t="shared" si="348"/>
        <v>0.59889218913060926</v>
      </c>
      <c r="M341" s="5">
        <f t="shared" si="349"/>
        <v>0.67548656908476756</v>
      </c>
      <c r="N341" s="5">
        <f t="shared" si="350"/>
        <v>0.77398102948763736</v>
      </c>
      <c r="O341" s="5">
        <f t="shared" si="360"/>
        <v>-1.7840993092761437E-2</v>
      </c>
      <c r="P341" s="2">
        <f t="shared" ref="P341:R341" si="370">(L341/L334)-1</f>
        <v>1.4222202946703844E-2</v>
      </c>
      <c r="Q341" s="2">
        <f t="shared" si="370"/>
        <v>-1.0267859626736597E-2</v>
      </c>
      <c r="R341" s="2">
        <f t="shared" si="370"/>
        <v>9.0371367199981734E-4</v>
      </c>
      <c r="S341" s="3"/>
    </row>
    <row r="342" spans="3:19" x14ac:dyDescent="0.25">
      <c r="C342" s="1">
        <f t="shared" si="352"/>
        <v>43804</v>
      </c>
      <c r="D342">
        <v>62566</v>
      </c>
      <c r="E342">
        <v>36263</v>
      </c>
      <c r="F342">
        <v>24919</v>
      </c>
      <c r="G342">
        <v>19262</v>
      </c>
      <c r="H342">
        <f>'Total Traffic'!D340-'Page Sessions'!D342</f>
        <v>67673</v>
      </c>
      <c r="I342" s="2">
        <f t="shared" si="347"/>
        <v>0.30786689256145511</v>
      </c>
      <c r="J342" s="2">
        <f t="shared" si="359"/>
        <v>-2.1594912538283051E-3</v>
      </c>
      <c r="K342" s="2">
        <f>D342/'Total Traffic'!D340</f>
        <v>0.48039373766690469</v>
      </c>
      <c r="L342" s="5">
        <f t="shared" si="348"/>
        <v>0.57959594668030556</v>
      </c>
      <c r="M342" s="5">
        <f t="shared" si="349"/>
        <v>0.6871742547500207</v>
      </c>
      <c r="N342" s="5">
        <f t="shared" si="350"/>
        <v>0.77298446968176893</v>
      </c>
      <c r="O342" s="5">
        <f t="shared" si="360"/>
        <v>-2.2785482499941501E-2</v>
      </c>
      <c r="P342" s="2">
        <f t="shared" ref="P342:R342" si="371">(L342/L335)-1</f>
        <v>8.1704142960243864E-3</v>
      </c>
      <c r="Q342" s="2">
        <f t="shared" si="371"/>
        <v>-7.8031487926959464E-3</v>
      </c>
      <c r="R342" s="2">
        <f t="shared" si="371"/>
        <v>-2.4622544785085632E-3</v>
      </c>
      <c r="S342" s="3"/>
    </row>
    <row r="343" spans="3:19" x14ac:dyDescent="0.25">
      <c r="C343" s="1">
        <f t="shared" si="352"/>
        <v>43805</v>
      </c>
      <c r="D343">
        <v>62966</v>
      </c>
      <c r="E343">
        <v>36343</v>
      </c>
      <c r="F343">
        <v>24655</v>
      </c>
      <c r="G343">
        <v>19112</v>
      </c>
      <c r="H343">
        <f>'Total Traffic'!D341-'Page Sessions'!D343</f>
        <v>67697</v>
      </c>
      <c r="I343" s="2">
        <f t="shared" si="347"/>
        <v>0.30352888860654959</v>
      </c>
      <c r="J343" s="2">
        <f t="shared" si="359"/>
        <v>-6.3238133733497182E-2</v>
      </c>
      <c r="K343" s="2">
        <f>D343/'Total Traffic'!D341</f>
        <v>0.48189617565799042</v>
      </c>
      <c r="L343" s="5">
        <f t="shared" si="348"/>
        <v>0.57718451227646661</v>
      </c>
      <c r="M343" s="5">
        <f t="shared" si="349"/>
        <v>0.67839749057590182</v>
      </c>
      <c r="N343" s="5">
        <f t="shared" si="350"/>
        <v>0.77517744879334816</v>
      </c>
      <c r="O343" s="5">
        <f t="shared" si="360"/>
        <v>-3.6207648684019156E-2</v>
      </c>
      <c r="P343" s="2">
        <f t="shared" ref="P343:R343" si="372">(L343/L336)-1</f>
        <v>-2.500211633120164E-2</v>
      </c>
      <c r="Q343" s="2">
        <f t="shared" si="372"/>
        <v>-1.3790474382541107E-2</v>
      </c>
      <c r="R343" s="2">
        <f t="shared" si="372"/>
        <v>-2.5781579051033066E-2</v>
      </c>
      <c r="S343" s="3"/>
    </row>
    <row r="344" spans="3:19" x14ac:dyDescent="0.25">
      <c r="C344" s="1">
        <f t="shared" si="352"/>
        <v>43806</v>
      </c>
      <c r="D344">
        <v>62698</v>
      </c>
      <c r="E344">
        <v>35957</v>
      </c>
      <c r="F344">
        <v>34865</v>
      </c>
      <c r="G344">
        <v>26898</v>
      </c>
      <c r="H344">
        <f>'Total Traffic'!D342-'Page Sessions'!D344</f>
        <v>67951</v>
      </c>
      <c r="I344" s="2">
        <f t="shared" si="347"/>
        <v>0.42900889980541645</v>
      </c>
      <c r="J344" s="2">
        <f t="shared" si="359"/>
        <v>0.39175282843429882</v>
      </c>
      <c r="K344" s="2">
        <f>D344/'Total Traffic'!D342</f>
        <v>0.47989651662086968</v>
      </c>
      <c r="L344" s="5">
        <f t="shared" si="348"/>
        <v>0.57349516730996208</v>
      </c>
      <c r="M344" s="5">
        <f t="shared" si="349"/>
        <v>0.96963039185694022</v>
      </c>
      <c r="N344" s="5">
        <f t="shared" si="350"/>
        <v>0.77149003298436825</v>
      </c>
      <c r="O344" s="5">
        <f t="shared" si="360"/>
        <v>-1.2749542866051233E-2</v>
      </c>
      <c r="P344" s="2">
        <f t="shared" ref="P344:R344" si="373">(L344/L337)-1</f>
        <v>-3.6608835189273159E-2</v>
      </c>
      <c r="Q344" s="2">
        <f t="shared" si="373"/>
        <v>0.44614343362533471</v>
      </c>
      <c r="R344" s="2">
        <f t="shared" si="373"/>
        <v>-1.0400349483559168E-3</v>
      </c>
      <c r="S344" s="3"/>
    </row>
    <row r="345" spans="3:19" x14ac:dyDescent="0.25">
      <c r="C345" s="1">
        <f t="shared" si="352"/>
        <v>43807</v>
      </c>
      <c r="D345">
        <v>62431</v>
      </c>
      <c r="E345">
        <v>36784</v>
      </c>
      <c r="F345">
        <v>25414</v>
      </c>
      <c r="G345">
        <v>19695</v>
      </c>
      <c r="H345">
        <f>'Total Traffic'!D343-'Page Sessions'!D345</f>
        <v>68343</v>
      </c>
      <c r="I345" s="2">
        <f t="shared" si="347"/>
        <v>0.31546827697778346</v>
      </c>
      <c r="J345" s="2">
        <f t="shared" si="359"/>
        <v>-3.4908626436800483E-2</v>
      </c>
      <c r="K345" s="2">
        <f>D345/'Total Traffic'!D343</f>
        <v>0.47739611849450198</v>
      </c>
      <c r="L345" s="5">
        <f t="shared" si="348"/>
        <v>0.58919447069564801</v>
      </c>
      <c r="M345" s="5">
        <f t="shared" si="349"/>
        <v>0.69089821661591999</v>
      </c>
      <c r="N345" s="5">
        <f t="shared" si="350"/>
        <v>0.77496655386794677</v>
      </c>
      <c r="O345" s="5">
        <f t="shared" si="360"/>
        <v>-7.0675875346766226E-3</v>
      </c>
      <c r="P345" s="2">
        <f t="shared" ref="P345:R345" si="374">(L345/L338)-1</f>
        <v>8.4777672641700441E-4</v>
      </c>
      <c r="Q345" s="2">
        <f t="shared" si="374"/>
        <v>-9.3185758633309579E-3</v>
      </c>
      <c r="R345" s="2">
        <f t="shared" si="374"/>
        <v>-2.6655934882137355E-2</v>
      </c>
      <c r="S345" s="3"/>
    </row>
    <row r="346" spans="3:19" x14ac:dyDescent="0.25">
      <c r="C346" s="1">
        <f t="shared" si="352"/>
        <v>43808</v>
      </c>
      <c r="D346">
        <v>62363</v>
      </c>
      <c r="E346">
        <v>35715</v>
      </c>
      <c r="F346">
        <v>24346</v>
      </c>
      <c r="G346">
        <v>18936</v>
      </c>
      <c r="H346">
        <f>'Total Traffic'!D344-'Page Sessions'!D346</f>
        <v>67832</v>
      </c>
      <c r="I346" s="2">
        <f t="shared" si="347"/>
        <v>0.30364158234850791</v>
      </c>
      <c r="J346" s="2">
        <f t="shared" si="359"/>
        <v>-6.3338522298976296E-2</v>
      </c>
      <c r="K346" s="2">
        <f>D346/'Total Traffic'!D344</f>
        <v>0.47899688928146245</v>
      </c>
      <c r="L346" s="5">
        <f t="shared" si="348"/>
        <v>0.57269534820326151</v>
      </c>
      <c r="M346" s="5">
        <f t="shared" si="349"/>
        <v>0.68167436651266977</v>
      </c>
      <c r="N346" s="5">
        <f t="shared" si="350"/>
        <v>0.77778690544647988</v>
      </c>
      <c r="O346" s="5">
        <f t="shared" si="360"/>
        <v>1.8280659358657969E-2</v>
      </c>
      <c r="P346" s="2">
        <f t="shared" ref="P346:R346" si="375">(L346/L339)-1</f>
        <v>-4.325474325807066E-2</v>
      </c>
      <c r="Q346" s="2">
        <f t="shared" si="375"/>
        <v>-1.1194371828708638E-2</v>
      </c>
      <c r="R346" s="2">
        <f t="shared" si="375"/>
        <v>-9.9083183543202669E-3</v>
      </c>
      <c r="S346" s="3"/>
    </row>
    <row r="347" spans="3:19" x14ac:dyDescent="0.25">
      <c r="C347" s="1">
        <f t="shared" si="352"/>
        <v>43809</v>
      </c>
      <c r="D347">
        <v>63669</v>
      </c>
      <c r="E347">
        <v>37564</v>
      </c>
      <c r="F347">
        <v>25806</v>
      </c>
      <c r="G347">
        <v>20195</v>
      </c>
      <c r="H347">
        <f>'Total Traffic'!D345-'Page Sessions'!D347</f>
        <v>67016</v>
      </c>
      <c r="I347" s="2">
        <f t="shared" si="347"/>
        <v>0.31718732821310214</v>
      </c>
      <c r="J347" s="2">
        <f t="shared" si="359"/>
        <v>1.8496557758972632E-2</v>
      </c>
      <c r="K347" s="2">
        <f>D347/'Total Traffic'!D345</f>
        <v>0.48719439874507403</v>
      </c>
      <c r="L347" s="5">
        <f t="shared" si="348"/>
        <v>0.58998884857623024</v>
      </c>
      <c r="M347" s="5">
        <f t="shared" si="349"/>
        <v>0.68698754126291128</v>
      </c>
      <c r="N347" s="5">
        <f t="shared" si="350"/>
        <v>0.78256994497403709</v>
      </c>
      <c r="O347" s="5">
        <f t="shared" si="360"/>
        <v>-3.281299807611715E-3</v>
      </c>
      <c r="P347" s="2">
        <f t="shared" ref="P347:R347" si="376">(L347/L340)-1</f>
        <v>1.5481360528959875E-2</v>
      </c>
      <c r="Q347" s="2">
        <f t="shared" si="376"/>
        <v>1.283359893873115E-2</v>
      </c>
      <c r="R347" s="2">
        <f t="shared" si="376"/>
        <v>-9.739378148301947E-3</v>
      </c>
      <c r="S347" s="3"/>
    </row>
    <row r="348" spans="3:19" x14ac:dyDescent="0.25">
      <c r="C348" s="1">
        <f t="shared" si="352"/>
        <v>43810</v>
      </c>
      <c r="D348">
        <v>65208</v>
      </c>
      <c r="E348">
        <v>38550</v>
      </c>
      <c r="F348">
        <v>26861</v>
      </c>
      <c r="G348">
        <v>20967</v>
      </c>
      <c r="H348">
        <f>'Total Traffic'!D346-'Page Sessions'!D348</f>
        <v>65288</v>
      </c>
      <c r="I348" s="2">
        <f t="shared" si="347"/>
        <v>0.32154030180345972</v>
      </c>
      <c r="J348" s="2">
        <f t="shared" si="359"/>
        <v>2.6927376567966732E-2</v>
      </c>
      <c r="K348" s="2">
        <f>D348/'Total Traffic'!D346</f>
        <v>0.49969347719470331</v>
      </c>
      <c r="L348" s="5">
        <f t="shared" si="348"/>
        <v>0.59118513065881484</v>
      </c>
      <c r="M348" s="5">
        <f t="shared" si="349"/>
        <v>0.69678339818417634</v>
      </c>
      <c r="N348" s="5">
        <f t="shared" si="350"/>
        <v>0.7805740664904508</v>
      </c>
      <c r="O348" s="5">
        <f t="shared" si="360"/>
        <v>4.3856745576534184E-2</v>
      </c>
      <c r="P348" s="2">
        <f t="shared" ref="P348:R348" si="377">(L348/L341)-1</f>
        <v>-1.2868857887397889E-2</v>
      </c>
      <c r="Q348" s="2">
        <f t="shared" si="377"/>
        <v>3.152813108965935E-2</v>
      </c>
      <c r="R348" s="2">
        <f t="shared" si="377"/>
        <v>8.5183444446668144E-3</v>
      </c>
      <c r="S348" s="3"/>
    </row>
    <row r="349" spans="3:19" x14ac:dyDescent="0.25">
      <c r="C349" s="1">
        <f t="shared" si="352"/>
        <v>43811</v>
      </c>
      <c r="D349">
        <v>64164</v>
      </c>
      <c r="E349">
        <v>37651</v>
      </c>
      <c r="F349">
        <v>25900</v>
      </c>
      <c r="G349">
        <v>20510</v>
      </c>
      <c r="H349">
        <f>'Total Traffic'!D347-'Page Sessions'!D349</f>
        <v>66040</v>
      </c>
      <c r="I349" s="2">
        <f t="shared" si="347"/>
        <v>0.31964964777756999</v>
      </c>
      <c r="J349" s="2">
        <f t="shared" si="359"/>
        <v>3.8272238752540932E-2</v>
      </c>
      <c r="K349" s="2">
        <f>D349/'Total Traffic'!D347</f>
        <v>0.49279592024822588</v>
      </c>
      <c r="L349" s="5">
        <f t="shared" si="348"/>
        <v>0.58679321738046253</v>
      </c>
      <c r="M349" s="5">
        <f t="shared" si="349"/>
        <v>0.68789673581046984</v>
      </c>
      <c r="N349" s="5">
        <f t="shared" si="350"/>
        <v>0.79189189189189191</v>
      </c>
      <c r="O349" s="5">
        <f t="shared" si="360"/>
        <v>2.5816703276678954E-2</v>
      </c>
      <c r="P349" s="2">
        <f t="shared" ref="P349:R349" si="378">(L349/L342)-1</f>
        <v>1.241773815255276E-2</v>
      </c>
      <c r="Q349" s="2">
        <f t="shared" si="378"/>
        <v>1.0513796980242684E-3</v>
      </c>
      <c r="R349" s="2">
        <f t="shared" si="378"/>
        <v>2.4460287304228778E-2</v>
      </c>
      <c r="S349" s="3"/>
    </row>
    <row r="350" spans="3:19" x14ac:dyDescent="0.25">
      <c r="C350" s="1">
        <f t="shared" si="352"/>
        <v>43812</v>
      </c>
      <c r="D350">
        <v>61601</v>
      </c>
      <c r="E350">
        <v>36658</v>
      </c>
      <c r="F350">
        <v>24876</v>
      </c>
      <c r="G350">
        <v>19557</v>
      </c>
      <c r="H350">
        <f>'Total Traffic'!D348-'Page Sessions'!D350</f>
        <v>68415</v>
      </c>
      <c r="I350" s="2">
        <f t="shared" si="347"/>
        <v>0.31747861236018898</v>
      </c>
      <c r="J350" s="2">
        <f t="shared" si="359"/>
        <v>4.5958471424845992E-2</v>
      </c>
      <c r="K350" s="2">
        <f>D350/'Total Traffic'!D348</f>
        <v>0.47379553285749448</v>
      </c>
      <c r="L350" s="5">
        <f t="shared" si="348"/>
        <v>0.59508774208210902</v>
      </c>
      <c r="M350" s="5">
        <f t="shared" si="349"/>
        <v>0.67859675923400076</v>
      </c>
      <c r="N350" s="5">
        <f t="shared" si="350"/>
        <v>0.7861794500723589</v>
      </c>
      <c r="O350" s="5">
        <f t="shared" si="360"/>
        <v>-1.6809933777613306E-2</v>
      </c>
      <c r="P350" s="2">
        <f t="shared" ref="P350:R350" si="379">(L350/L343)-1</f>
        <v>3.101820895198748E-2</v>
      </c>
      <c r="Q350" s="2">
        <f t="shared" si="379"/>
        <v>2.9373436792901053E-4</v>
      </c>
      <c r="R350" s="2">
        <f t="shared" si="379"/>
        <v>1.4192880992779822E-2</v>
      </c>
      <c r="S350" s="3"/>
    </row>
    <row r="351" spans="3:19" x14ac:dyDescent="0.25">
      <c r="C351" s="1">
        <f t="shared" si="352"/>
        <v>43813</v>
      </c>
      <c r="D351">
        <v>63054</v>
      </c>
      <c r="E351">
        <v>37491</v>
      </c>
      <c r="F351">
        <v>26003</v>
      </c>
      <c r="G351">
        <v>20646</v>
      </c>
      <c r="H351">
        <f>'Total Traffic'!D349-'Page Sessions'!D351</f>
        <v>67197</v>
      </c>
      <c r="I351" s="2">
        <f t="shared" si="347"/>
        <v>0.32743362831858408</v>
      </c>
      <c r="J351" s="2">
        <f t="shared" si="359"/>
        <v>-0.23676728276010917</v>
      </c>
      <c r="K351" s="2">
        <f>D351/'Total Traffic'!D349</f>
        <v>0.48409609139277243</v>
      </c>
      <c r="L351" s="5">
        <f t="shared" si="348"/>
        <v>0.59458559330098015</v>
      </c>
      <c r="M351" s="5">
        <f t="shared" si="349"/>
        <v>0.69357979248352941</v>
      </c>
      <c r="N351" s="5">
        <f t="shared" si="350"/>
        <v>0.79398530938737832</v>
      </c>
      <c r="O351" s="5">
        <f t="shared" si="360"/>
        <v>8.7510007396458533E-3</v>
      </c>
      <c r="P351" s="2">
        <f t="shared" ref="P351:R351" si="380">(L351/L344)-1</f>
        <v>3.6775246232579217E-2</v>
      </c>
      <c r="Q351" s="2">
        <f t="shared" si="380"/>
        <v>-0.28469672742491703</v>
      </c>
      <c r="R351" s="2">
        <f t="shared" si="380"/>
        <v>2.9158220380360866E-2</v>
      </c>
      <c r="S351" s="3"/>
    </row>
    <row r="352" spans="3:19" x14ac:dyDescent="0.25">
      <c r="C352" s="1">
        <f t="shared" si="352"/>
        <v>43814</v>
      </c>
      <c r="D352">
        <v>63060</v>
      </c>
      <c r="E352">
        <v>36915</v>
      </c>
      <c r="F352">
        <v>25663</v>
      </c>
      <c r="G352">
        <v>20178</v>
      </c>
      <c r="H352">
        <f>'Total Traffic'!D350-'Page Sessions'!D352</f>
        <v>67853</v>
      </c>
      <c r="I352" s="2">
        <f t="shared" si="347"/>
        <v>0.31998097050428165</v>
      </c>
      <c r="J352" s="2">
        <f t="shared" si="359"/>
        <v>1.4304745851881684E-2</v>
      </c>
      <c r="K352" s="2">
        <f>D352/'Total Traffic'!D350</f>
        <v>0.48169394941678823</v>
      </c>
      <c r="L352" s="5">
        <f t="shared" si="348"/>
        <v>0.58539486203615609</v>
      </c>
      <c r="M352" s="5">
        <f t="shared" si="349"/>
        <v>0.69519165650819448</v>
      </c>
      <c r="N352" s="5">
        <f t="shared" si="350"/>
        <v>0.78626816817986989</v>
      </c>
      <c r="O352" s="5">
        <f t="shared" si="360"/>
        <v>9.0026515838455001E-3</v>
      </c>
      <c r="P352" s="2">
        <f t="shared" ref="P352:R352" si="381">(L352/L345)-1</f>
        <v>-6.4488192752484297E-3</v>
      </c>
      <c r="Q352" s="2">
        <f t="shared" si="381"/>
        <v>6.214287125105189E-3</v>
      </c>
      <c r="R352" s="2">
        <f t="shared" si="381"/>
        <v>1.45833575081602E-2</v>
      </c>
      <c r="S352" s="3"/>
    </row>
    <row r="353" spans="3:19" x14ac:dyDescent="0.25">
      <c r="C353" s="1">
        <f t="shared" si="352"/>
        <v>43815</v>
      </c>
      <c r="D353">
        <v>61583</v>
      </c>
      <c r="E353">
        <v>35995</v>
      </c>
      <c r="F353">
        <v>24156</v>
      </c>
      <c r="G353">
        <v>18650</v>
      </c>
      <c r="H353">
        <f>'Total Traffic'!D351-'Page Sessions'!D353</f>
        <v>68780</v>
      </c>
      <c r="I353" s="2">
        <f t="shared" si="347"/>
        <v>0.30284331714921325</v>
      </c>
      <c r="J353" s="2">
        <f t="shared" si="359"/>
        <v>-2.6289719382981414E-3</v>
      </c>
      <c r="K353" s="2">
        <f>D353/'Total Traffic'!D351</f>
        <v>0.47239630876859229</v>
      </c>
      <c r="L353" s="5">
        <f t="shared" si="348"/>
        <v>0.58449572122176574</v>
      </c>
      <c r="M353" s="5">
        <f t="shared" si="349"/>
        <v>0.67109320738991529</v>
      </c>
      <c r="N353" s="5">
        <f t="shared" si="350"/>
        <v>0.77206491140917366</v>
      </c>
      <c r="O353" s="5">
        <f t="shared" si="360"/>
        <v>-1.3780007053431187E-2</v>
      </c>
      <c r="P353" s="2">
        <f t="shared" ref="P353:R353" si="382">(L353/L346)-1</f>
        <v>2.0604974451994273E-2</v>
      </c>
      <c r="Q353" s="2">
        <f t="shared" si="382"/>
        <v>-1.5522307486616982E-2</v>
      </c>
      <c r="R353" s="2">
        <f t="shared" si="382"/>
        <v>-7.3567631406979972E-3</v>
      </c>
      <c r="S353" s="3"/>
    </row>
    <row r="354" spans="3:19" x14ac:dyDescent="0.25">
      <c r="C354" s="1">
        <f t="shared" si="352"/>
        <v>43816</v>
      </c>
      <c r="D354">
        <v>62424</v>
      </c>
      <c r="E354">
        <v>37029</v>
      </c>
      <c r="F354">
        <v>25505</v>
      </c>
      <c r="G354">
        <v>19944</v>
      </c>
      <c r="H354">
        <f>'Total Traffic'!D352-'Page Sessions'!D354</f>
        <v>68089</v>
      </c>
      <c r="I354" s="2">
        <f t="shared" si="347"/>
        <v>0.31949250288350634</v>
      </c>
      <c r="J354" s="2">
        <f t="shared" si="359"/>
        <v>7.2675496949723417E-3</v>
      </c>
      <c r="K354" s="2">
        <f>D354/'Total Traffic'!D352</f>
        <v>0.47829718112371949</v>
      </c>
      <c r="L354" s="5">
        <f t="shared" si="348"/>
        <v>0.59318531334102265</v>
      </c>
      <c r="M354" s="5">
        <f t="shared" si="349"/>
        <v>0.68878446622917178</v>
      </c>
      <c r="N354" s="5">
        <f t="shared" si="350"/>
        <v>0.78196432072142719</v>
      </c>
      <c r="O354" s="5">
        <f t="shared" si="360"/>
        <v>-1.8262150887350503E-2</v>
      </c>
      <c r="P354" s="2">
        <f t="shared" ref="P354:R354" si="383">(L354/L347)-1</f>
        <v>5.4178392905326334E-3</v>
      </c>
      <c r="Q354" s="2">
        <f t="shared" si="383"/>
        <v>2.6156587395416153E-3</v>
      </c>
      <c r="R354" s="2">
        <f t="shared" si="383"/>
        <v>-7.7389153071805161E-4</v>
      </c>
      <c r="S354" s="3"/>
    </row>
    <row r="355" spans="3:19" x14ac:dyDescent="0.25">
      <c r="C355" s="1">
        <f t="shared" si="352"/>
        <v>43817</v>
      </c>
      <c r="D355">
        <v>64372</v>
      </c>
      <c r="E355">
        <v>38346</v>
      </c>
      <c r="F355">
        <v>11468</v>
      </c>
      <c r="G355">
        <v>8915</v>
      </c>
      <c r="H355">
        <f>'Total Traffic'!D353-'Page Sessions'!D355</f>
        <v>65673</v>
      </c>
      <c r="I355" s="2">
        <f t="shared" si="347"/>
        <v>0.13849189088423539</v>
      </c>
      <c r="J355" s="2">
        <f t="shared" si="359"/>
        <v>-0.56928605805412213</v>
      </c>
      <c r="K355" s="2">
        <f>D355/'Total Traffic'!D353</f>
        <v>0.49499788534737976</v>
      </c>
      <c r="L355" s="5">
        <f t="shared" si="348"/>
        <v>0.59569377990430628</v>
      </c>
      <c r="M355" s="5">
        <f t="shared" si="349"/>
        <v>0.29906639545193764</v>
      </c>
      <c r="N355" s="5">
        <f t="shared" si="350"/>
        <v>0.77738053714684341</v>
      </c>
      <c r="O355" s="5">
        <f t="shared" si="360"/>
        <v>-9.3969444501952326E-3</v>
      </c>
      <c r="P355" s="2">
        <f t="shared" ref="P355:R355" si="384">(L355/L348)-1</f>
        <v>7.6264591439689777E-3</v>
      </c>
      <c r="Q355" s="2">
        <f t="shared" si="384"/>
        <v>-0.57079000987780804</v>
      </c>
      <c r="R355" s="2">
        <f t="shared" si="384"/>
        <v>-4.0912572947315873E-3</v>
      </c>
      <c r="S355" s="3"/>
    </row>
    <row r="356" spans="3:19" x14ac:dyDescent="0.25">
      <c r="C356" s="1">
        <f t="shared" si="352"/>
        <v>43818</v>
      </c>
      <c r="D356">
        <v>63068</v>
      </c>
      <c r="E356">
        <v>36516</v>
      </c>
      <c r="F356">
        <v>24765</v>
      </c>
      <c r="G356">
        <v>19586</v>
      </c>
      <c r="H356">
        <f>'Total Traffic'!D354-'Page Sessions'!D356</f>
        <v>67265</v>
      </c>
      <c r="I356" s="2">
        <f t="shared" si="347"/>
        <v>0.31055368808270439</v>
      </c>
      <c r="J356" s="2">
        <f t="shared" si="359"/>
        <v>-2.8456029149749207E-2</v>
      </c>
      <c r="K356" s="2">
        <f>D356/'Total Traffic'!D354</f>
        <v>0.48389893580290488</v>
      </c>
      <c r="L356" s="5">
        <f t="shared" si="348"/>
        <v>0.57899410160461728</v>
      </c>
      <c r="M356" s="5">
        <f t="shared" si="349"/>
        <v>0.67819585934932636</v>
      </c>
      <c r="N356" s="5">
        <f t="shared" si="350"/>
        <v>0.79087421764587118</v>
      </c>
      <c r="O356" s="5">
        <f t="shared" si="360"/>
        <v>-1.8054095173595353E-2</v>
      </c>
      <c r="P356" s="2">
        <f t="shared" ref="P356:R356" si="385">(L356/L349)-1</f>
        <v>-1.3291080307065828E-2</v>
      </c>
      <c r="Q356" s="2">
        <f t="shared" si="385"/>
        <v>-1.4102227785270816E-2</v>
      </c>
      <c r="R356" s="2">
        <f t="shared" si="385"/>
        <v>-1.2851176485586535E-3</v>
      </c>
      <c r="S356" s="3"/>
    </row>
    <row r="357" spans="3:19" x14ac:dyDescent="0.25">
      <c r="C357" s="1">
        <f t="shared" si="352"/>
        <v>43819</v>
      </c>
      <c r="D357">
        <v>62226</v>
      </c>
      <c r="E357">
        <v>36240</v>
      </c>
      <c r="F357">
        <v>25194</v>
      </c>
      <c r="G357">
        <v>19449</v>
      </c>
      <c r="H357">
        <f>'Total Traffic'!D355-'Page Sessions'!D357</f>
        <v>68037</v>
      </c>
      <c r="I357" s="2">
        <f t="shared" si="347"/>
        <v>0.31255423777842062</v>
      </c>
      <c r="J357" s="2">
        <f t="shared" si="359"/>
        <v>-1.5510886056732232E-2</v>
      </c>
      <c r="K357" s="2">
        <f>D357/'Total Traffic'!D355</f>
        <v>0.47769512447893875</v>
      </c>
      <c r="L357" s="5">
        <f t="shared" si="348"/>
        <v>0.58239321184070969</v>
      </c>
      <c r="M357" s="5">
        <f t="shared" si="349"/>
        <v>0.69519867549668879</v>
      </c>
      <c r="N357" s="5">
        <f t="shared" si="350"/>
        <v>0.77196951655155988</v>
      </c>
      <c r="O357" s="5">
        <f t="shared" si="360"/>
        <v>8.230536910986741E-3</v>
      </c>
      <c r="P357" s="2">
        <f t="shared" ref="P357:R357" si="386">(L357/L350)-1</f>
        <v>-2.1332199176180899E-2</v>
      </c>
      <c r="Q357" s="2">
        <f t="shared" si="386"/>
        <v>2.4465068594533568E-2</v>
      </c>
      <c r="R357" s="2">
        <f t="shared" si="386"/>
        <v>-1.8074669236764151E-2</v>
      </c>
      <c r="S357" s="3"/>
    </row>
    <row r="358" spans="3:19" x14ac:dyDescent="0.25">
      <c r="C358" s="1">
        <f t="shared" si="352"/>
        <v>43820</v>
      </c>
      <c r="D358">
        <v>64694</v>
      </c>
      <c r="E358">
        <v>38014</v>
      </c>
      <c r="F358">
        <v>26488</v>
      </c>
      <c r="G358">
        <v>20657</v>
      </c>
      <c r="H358">
        <f>'Total Traffic'!D356-'Page Sessions'!D358</f>
        <v>65503</v>
      </c>
      <c r="I358" s="2">
        <f t="shared" si="347"/>
        <v>0.31930318112962564</v>
      </c>
      <c r="J358" s="2">
        <f t="shared" si="359"/>
        <v>-2.4830825198710937E-2</v>
      </c>
      <c r="K358" s="2">
        <f>D358/'Total Traffic'!D356</f>
        <v>0.49689316958148039</v>
      </c>
      <c r="L358" s="5">
        <f t="shared" si="348"/>
        <v>0.58759699508455188</v>
      </c>
      <c r="M358" s="5">
        <f t="shared" si="349"/>
        <v>0.69679591729362866</v>
      </c>
      <c r="N358" s="5">
        <f t="shared" si="350"/>
        <v>0.77986257928118397</v>
      </c>
      <c r="O358" s="5">
        <f t="shared" si="360"/>
        <v>2.6434995894905944E-2</v>
      </c>
      <c r="P358" s="2">
        <f t="shared" ref="P358:R358" si="387">(L358/L351)-1</f>
        <v>-1.1753729480106334E-2</v>
      </c>
      <c r="Q358" s="2">
        <f t="shared" si="387"/>
        <v>4.6369932413734549E-3</v>
      </c>
      <c r="R358" s="2">
        <f t="shared" si="387"/>
        <v>-1.778714283402949E-2</v>
      </c>
      <c r="S358" s="3"/>
    </row>
    <row r="359" spans="3:19" x14ac:dyDescent="0.25">
      <c r="C359" s="1">
        <f t="shared" si="352"/>
        <v>43821</v>
      </c>
      <c r="D359">
        <v>63577</v>
      </c>
      <c r="E359">
        <v>36302</v>
      </c>
      <c r="F359">
        <v>25117</v>
      </c>
      <c r="G359">
        <v>19460</v>
      </c>
      <c r="H359">
        <f>'Total Traffic'!D357-'Page Sessions'!D359</f>
        <v>66704</v>
      </c>
      <c r="I359" s="2">
        <f t="shared" si="347"/>
        <v>0.30608553407678879</v>
      </c>
      <c r="J359" s="2">
        <f t="shared" si="359"/>
        <v>-4.342582124678851E-2</v>
      </c>
      <c r="K359" s="2">
        <f>D359/'Total Traffic'!D357</f>
        <v>0.48799901750830899</v>
      </c>
      <c r="L359" s="5">
        <f t="shared" si="348"/>
        <v>0.57099265457634052</v>
      </c>
      <c r="M359" s="5">
        <f t="shared" si="349"/>
        <v>0.69189025398049697</v>
      </c>
      <c r="N359" s="5">
        <f t="shared" si="350"/>
        <v>0.774774057411315</v>
      </c>
      <c r="O359" s="5">
        <f t="shared" si="360"/>
        <v>1.3089365351494742E-2</v>
      </c>
      <c r="P359" s="2">
        <f t="shared" ref="P359:R359" si="388">(L359/L352)-1</f>
        <v>-2.4602551873654899E-2</v>
      </c>
      <c r="Q359" s="2">
        <f t="shared" si="388"/>
        <v>-4.748909882319019E-3</v>
      </c>
      <c r="R359" s="2">
        <f t="shared" si="388"/>
        <v>-1.4618563021777331E-2</v>
      </c>
      <c r="S359" s="3"/>
    </row>
    <row r="360" spans="3:19" x14ac:dyDescent="0.25">
      <c r="C360" s="1">
        <f t="shared" si="352"/>
        <v>43822</v>
      </c>
      <c r="D360">
        <v>62010</v>
      </c>
      <c r="E360">
        <v>36790</v>
      </c>
      <c r="F360">
        <v>24682</v>
      </c>
      <c r="G360">
        <v>19345</v>
      </c>
      <c r="H360">
        <f>'Total Traffic'!D358-'Page Sessions'!D360</f>
        <v>68677</v>
      </c>
      <c r="I360" s="2">
        <f t="shared" si="347"/>
        <v>0.31196581196581197</v>
      </c>
      <c r="J360" s="2">
        <f t="shared" si="359"/>
        <v>3.0122820283678298E-2</v>
      </c>
      <c r="K360" s="2">
        <f>D360/'Total Traffic'!D358</f>
        <v>0.47449248968910451</v>
      </c>
      <c r="L360" s="5">
        <f t="shared" si="348"/>
        <v>0.59329140461215935</v>
      </c>
      <c r="M360" s="5">
        <f t="shared" si="349"/>
        <v>0.67088882848600162</v>
      </c>
      <c r="N360" s="5">
        <f t="shared" si="350"/>
        <v>0.78376954865894177</v>
      </c>
      <c r="O360" s="5">
        <f t="shared" si="360"/>
        <v>4.4373355202040887E-3</v>
      </c>
      <c r="P360" s="2">
        <f t="shared" ref="P360:R360" si="389">(L360/L353)-1</f>
        <v>1.5048328107531761E-2</v>
      </c>
      <c r="Q360" s="2">
        <f t="shared" si="389"/>
        <v>-3.0454622646014506E-4</v>
      </c>
      <c r="R360" s="2">
        <f t="shared" si="389"/>
        <v>1.5160172515034764E-2</v>
      </c>
      <c r="S360" s="3"/>
    </row>
    <row r="361" spans="3:19" x14ac:dyDescent="0.25">
      <c r="C361" s="1">
        <f t="shared" si="352"/>
        <v>43823</v>
      </c>
      <c r="D361">
        <v>63120</v>
      </c>
      <c r="E361">
        <v>36110</v>
      </c>
      <c r="F361">
        <v>24854</v>
      </c>
      <c r="G361">
        <v>19281</v>
      </c>
      <c r="H361">
        <f>'Total Traffic'!D359-'Page Sessions'!D361</f>
        <v>67375</v>
      </c>
      <c r="I361" s="2">
        <f t="shared" si="347"/>
        <v>0.30546577946768061</v>
      </c>
      <c r="J361" s="2">
        <f t="shared" si="359"/>
        <v>-4.390313791162781E-2</v>
      </c>
      <c r="K361" s="2">
        <f>D361/'Total Traffic'!D359</f>
        <v>0.48369669335989884</v>
      </c>
      <c r="L361" s="5">
        <f t="shared" si="348"/>
        <v>0.57208491761723701</v>
      </c>
      <c r="M361" s="5">
        <f t="shared" si="349"/>
        <v>0.68828579340902796</v>
      </c>
      <c r="N361" s="5">
        <f t="shared" si="350"/>
        <v>0.77577049971835521</v>
      </c>
      <c r="O361" s="5">
        <f t="shared" si="360"/>
        <v>1.1289032110734176E-2</v>
      </c>
      <c r="P361" s="2">
        <f t="shared" ref="P361:R361" si="390">(L361/L354)-1</f>
        <v>-3.5571338752372283E-2</v>
      </c>
      <c r="Q361" s="2">
        <f t="shared" si="390"/>
        <v>-7.2398964348585615E-4</v>
      </c>
      <c r="R361" s="2">
        <f t="shared" si="390"/>
        <v>-7.9208486102763098E-3</v>
      </c>
      <c r="S361" s="3"/>
    </row>
    <row r="362" spans="3:19" x14ac:dyDescent="0.25">
      <c r="C362" s="1">
        <f t="shared" si="352"/>
        <v>43824</v>
      </c>
      <c r="D362">
        <v>64605</v>
      </c>
      <c r="E362">
        <v>37800</v>
      </c>
      <c r="F362">
        <v>26327</v>
      </c>
      <c r="G362">
        <v>20540</v>
      </c>
      <c r="H362">
        <f>'Total Traffic'!D360-'Page Sessions'!D362</f>
        <v>65727</v>
      </c>
      <c r="I362" s="2">
        <f t="shared" si="347"/>
        <v>0.3179320486030493</v>
      </c>
      <c r="J362" s="2">
        <f t="shared" si="359"/>
        <v>1.2956726677145811</v>
      </c>
      <c r="K362" s="2">
        <f>D362/'Total Traffic'!D360</f>
        <v>0.49569560813921371</v>
      </c>
      <c r="L362" s="5">
        <f t="shared" si="348"/>
        <v>0.5850940329695844</v>
      </c>
      <c r="M362" s="5">
        <f t="shared" si="349"/>
        <v>0.69648148148148148</v>
      </c>
      <c r="N362" s="5">
        <f t="shared" si="350"/>
        <v>0.78018764006533214</v>
      </c>
      <c r="O362" s="5">
        <f t="shared" si="360"/>
        <v>1.4095470152246659E-3</v>
      </c>
      <c r="P362" s="2">
        <f t="shared" ref="P362:R362" si="391">(L362/L355)-1</f>
        <v>-1.7793952685597358E-2</v>
      </c>
      <c r="Q362" s="2">
        <f t="shared" si="391"/>
        <v>1.3288523621284347</v>
      </c>
      <c r="R362" s="2">
        <f t="shared" si="391"/>
        <v>3.6109765865652843E-3</v>
      </c>
      <c r="S362" s="3"/>
    </row>
    <row r="363" spans="3:19" x14ac:dyDescent="0.25">
      <c r="C363" s="1">
        <f t="shared" si="352"/>
        <v>43825</v>
      </c>
      <c r="D363">
        <v>61958</v>
      </c>
      <c r="E363">
        <v>36202</v>
      </c>
      <c r="F363">
        <v>25001</v>
      </c>
      <c r="G363">
        <v>19360</v>
      </c>
      <c r="H363">
        <f>'Total Traffic'!D361-'Page Sessions'!D363</f>
        <v>68564</v>
      </c>
      <c r="I363" s="2">
        <f t="shared" si="347"/>
        <v>0.31246973756415636</v>
      </c>
      <c r="J363" s="2">
        <f t="shared" si="359"/>
        <v>6.1697849839790209E-3</v>
      </c>
      <c r="K363" s="2">
        <f>D363/'Total Traffic'!D361</f>
        <v>0.47469392133126981</v>
      </c>
      <c r="L363" s="5">
        <f t="shared" si="348"/>
        <v>0.58429904128603249</v>
      </c>
      <c r="M363" s="5">
        <f t="shared" si="349"/>
        <v>0.69059720457433293</v>
      </c>
      <c r="N363" s="5">
        <f t="shared" si="350"/>
        <v>0.77436902523899043</v>
      </c>
      <c r="O363" s="5">
        <f t="shared" si="360"/>
        <v>-1.9022597056060353E-2</v>
      </c>
      <c r="P363" s="2">
        <f t="shared" ref="P363:R363" si="392">(L363/L356)-1</f>
        <v>9.1623380388732301E-3</v>
      </c>
      <c r="Q363" s="2">
        <f t="shared" si="392"/>
        <v>1.8285787289979316E-2</v>
      </c>
      <c r="R363" s="2">
        <f t="shared" si="392"/>
        <v>-2.0869554271234603E-2</v>
      </c>
      <c r="S363" s="3"/>
    </row>
    <row r="364" spans="3:19" x14ac:dyDescent="0.25">
      <c r="C364" s="1">
        <f t="shared" si="352"/>
        <v>43826</v>
      </c>
      <c r="D364">
        <v>63421</v>
      </c>
      <c r="E364">
        <v>36505</v>
      </c>
      <c r="F364">
        <v>24513</v>
      </c>
      <c r="G364">
        <v>18995</v>
      </c>
      <c r="H364">
        <f>'Total Traffic'!D362-'Page Sessions'!D364</f>
        <v>66916</v>
      </c>
      <c r="I364" s="2">
        <f t="shared" si="347"/>
        <v>0.29950647261947932</v>
      </c>
      <c r="J364" s="2">
        <f t="shared" si="359"/>
        <v>-4.1745603104544227E-2</v>
      </c>
      <c r="K364" s="2">
        <f>D364/'Total Traffic'!D362</f>
        <v>0.48659244880578806</v>
      </c>
      <c r="L364" s="5">
        <f t="shared" si="348"/>
        <v>0.5755979880481229</v>
      </c>
      <c r="M364" s="5">
        <f t="shared" si="349"/>
        <v>0.67149705519791814</v>
      </c>
      <c r="N364" s="5">
        <f t="shared" si="350"/>
        <v>0.77489495369803774</v>
      </c>
      <c r="O364" s="5">
        <f t="shared" si="360"/>
        <v>1.8625528859132379E-2</v>
      </c>
      <c r="P364" s="2">
        <f t="shared" ref="P364:R364" si="393">(L364/L357)-1</f>
        <v>-1.1667759263728095E-2</v>
      </c>
      <c r="Q364" s="2">
        <f t="shared" si="393"/>
        <v>-3.4093304740313135E-2</v>
      </c>
      <c r="R364" s="2">
        <f t="shared" si="393"/>
        <v>3.7895759919976957E-3</v>
      </c>
      <c r="S364" s="3"/>
    </row>
    <row r="365" spans="3:19" x14ac:dyDescent="0.25">
      <c r="C365" s="1">
        <f t="shared" si="352"/>
        <v>43827</v>
      </c>
      <c r="D365">
        <v>64501</v>
      </c>
      <c r="E365">
        <v>37249</v>
      </c>
      <c r="F365">
        <v>25180</v>
      </c>
      <c r="G365">
        <v>19776</v>
      </c>
      <c r="H365">
        <f>'Total Traffic'!D363-'Page Sessions'!D365</f>
        <v>66440</v>
      </c>
      <c r="I365" s="2">
        <f t="shared" si="347"/>
        <v>0.30659989767600504</v>
      </c>
      <c r="J365" s="2">
        <f t="shared" si="359"/>
        <v>-3.9784393655832417E-2</v>
      </c>
      <c r="K365" s="2">
        <f>D365/'Total Traffic'!D363</f>
        <v>0.49259590197111675</v>
      </c>
      <c r="L365" s="5">
        <f t="shared" si="348"/>
        <v>0.57749492255934021</v>
      </c>
      <c r="M365" s="5">
        <f t="shared" si="349"/>
        <v>0.67599130177991351</v>
      </c>
      <c r="N365" s="5">
        <f t="shared" si="350"/>
        <v>0.78538522637013508</v>
      </c>
      <c r="O365" s="5">
        <f t="shared" si="360"/>
        <v>-8.6482726538243959E-3</v>
      </c>
      <c r="P365" s="2">
        <f t="shared" ref="P365:R365" si="394">(L365/L358)-1</f>
        <v>-1.7192178669596547E-2</v>
      </c>
      <c r="Q365" s="2">
        <f t="shared" si="394"/>
        <v>-2.9857545082239811E-2</v>
      </c>
      <c r="R365" s="2">
        <f t="shared" si="394"/>
        <v>7.0815644136195122E-3</v>
      </c>
      <c r="S365" s="3"/>
    </row>
    <row r="366" spans="3:19" x14ac:dyDescent="0.25">
      <c r="C366" s="1">
        <f t="shared" si="352"/>
        <v>43828</v>
      </c>
      <c r="D366">
        <v>64908</v>
      </c>
      <c r="E366">
        <v>38204</v>
      </c>
      <c r="F366">
        <v>26188</v>
      </c>
      <c r="G366">
        <v>20188</v>
      </c>
      <c r="H366">
        <f>'Total Traffic'!D364-'Page Sessions'!D366</f>
        <v>65797</v>
      </c>
      <c r="I366" s="2">
        <f t="shared" si="347"/>
        <v>0.31102483515129103</v>
      </c>
      <c r="J366" s="2">
        <f t="shared" si="359"/>
        <v>1.6136996115808211E-2</v>
      </c>
      <c r="K366" s="2">
        <f>D366/'Total Traffic'!D364</f>
        <v>0.49659921196587736</v>
      </c>
      <c r="L366" s="5">
        <f t="shared" si="348"/>
        <v>0.58858692302951865</v>
      </c>
      <c r="M366" s="5">
        <f t="shared" si="349"/>
        <v>0.68547796042299236</v>
      </c>
      <c r="N366" s="5">
        <f t="shared" si="350"/>
        <v>0.77088742935695742</v>
      </c>
      <c r="O366" s="5">
        <f t="shared" si="360"/>
        <v>1.7623384779503093E-2</v>
      </c>
      <c r="P366" s="2">
        <f t="shared" ref="P366:R366" si="395">(L366/L359)-1</f>
        <v>3.0813475991617656E-2</v>
      </c>
      <c r="Q366" s="2">
        <f t="shared" si="395"/>
        <v>-9.2677899719127987E-3</v>
      </c>
      <c r="R366" s="2">
        <f t="shared" si="395"/>
        <v>-5.0164664358324229E-3</v>
      </c>
      <c r="S366" s="3"/>
    </row>
    <row r="367" spans="3:19" x14ac:dyDescent="0.25">
      <c r="C367" s="1">
        <f t="shared" si="352"/>
        <v>43829</v>
      </c>
      <c r="D367">
        <v>64006</v>
      </c>
      <c r="E367">
        <v>37174</v>
      </c>
      <c r="F367">
        <v>25189</v>
      </c>
      <c r="G367">
        <v>20060</v>
      </c>
      <c r="H367">
        <f>'Total Traffic'!D365-'Page Sessions'!D367</f>
        <v>66993</v>
      </c>
      <c r="I367" s="2">
        <f t="shared" si="347"/>
        <v>0.31340811798893853</v>
      </c>
      <c r="J367" s="2">
        <f t="shared" si="359"/>
        <v>4.6232823207070783E-3</v>
      </c>
      <c r="K367" s="2">
        <f>D367/'Total Traffic'!D365</f>
        <v>0.4885991496118291</v>
      </c>
      <c r="L367" s="5">
        <f t="shared" si="348"/>
        <v>0.58078930100303094</v>
      </c>
      <c r="M367" s="5">
        <f t="shared" si="349"/>
        <v>0.67759724538656052</v>
      </c>
      <c r="N367" s="5">
        <f t="shared" si="350"/>
        <v>0.79637937194807262</v>
      </c>
      <c r="O367" s="5">
        <f t="shared" si="360"/>
        <v>2.9729996215466903E-2</v>
      </c>
      <c r="P367" s="2">
        <f t="shared" ref="P367:R367" si="396">(L367/L360)-1</f>
        <v>-2.1072450252841879E-2</v>
      </c>
      <c r="Q367" s="2">
        <f t="shared" si="396"/>
        <v>9.9992973734528423E-3</v>
      </c>
      <c r="R367" s="2">
        <f t="shared" si="396"/>
        <v>1.6088687434599569E-2</v>
      </c>
      <c r="S367" s="3"/>
    </row>
    <row r="368" spans="3:19" x14ac:dyDescent="0.25">
      <c r="C368" s="1">
        <f t="shared" si="352"/>
        <v>43830</v>
      </c>
      <c r="D368">
        <v>63856</v>
      </c>
      <c r="E368">
        <v>36895</v>
      </c>
      <c r="F368">
        <v>25642</v>
      </c>
      <c r="G368">
        <v>20123</v>
      </c>
      <c r="H368">
        <f>'Total Traffic'!D366-'Page Sessions'!D368</f>
        <v>66729</v>
      </c>
      <c r="I368" s="2">
        <f t="shared" si="347"/>
        <v>0.31513091956903033</v>
      </c>
      <c r="J368" s="2">
        <f t="shared" si="359"/>
        <v>3.164066403180299E-2</v>
      </c>
      <c r="K368" s="2">
        <f>D368/'Total Traffic'!D366</f>
        <v>0.48899950223992034</v>
      </c>
      <c r="L368" s="5">
        <f t="shared" si="348"/>
        <v>0.5777843898772238</v>
      </c>
      <c r="M368" s="5">
        <f t="shared" si="349"/>
        <v>0.69499932240140938</v>
      </c>
      <c r="N368" s="5">
        <f t="shared" si="350"/>
        <v>0.78476717884720382</v>
      </c>
      <c r="O368" s="5">
        <f t="shared" si="360"/>
        <v>1.0963086894778318E-2</v>
      </c>
      <c r="P368" s="2">
        <f t="shared" ref="P368:R368" si="397">(L368/L361)-1</f>
        <v>9.9626333162661229E-3</v>
      </c>
      <c r="Q368" s="2">
        <f t="shared" si="397"/>
        <v>9.7539845463463504E-3</v>
      </c>
      <c r="R368" s="2">
        <f t="shared" si="397"/>
        <v>1.1597088484435636E-2</v>
      </c>
      <c r="S368" s="3"/>
    </row>
    <row r="369" spans="3:19" x14ac:dyDescent="0.25">
      <c r="C369" s="1">
        <f t="shared" si="352"/>
        <v>43831</v>
      </c>
      <c r="D369">
        <v>61463</v>
      </c>
      <c r="E369">
        <v>35882</v>
      </c>
      <c r="F369">
        <v>25092</v>
      </c>
      <c r="G369">
        <v>19506</v>
      </c>
      <c r="H369">
        <f>'Total Traffic'!D367-'Page Sessions'!D369</f>
        <v>68646</v>
      </c>
      <c r="I369" s="2">
        <f t="shared" si="347"/>
        <v>0.3173616647413891</v>
      </c>
      <c r="J369" s="2">
        <f t="shared" si="359"/>
        <v>-1.7940433000270817E-3</v>
      </c>
      <c r="K369" s="2">
        <f>D369/'Total Traffic'!D367</f>
        <v>0.47239622162955675</v>
      </c>
      <c r="L369" s="5">
        <f t="shared" si="348"/>
        <v>0.58379838276686791</v>
      </c>
      <c r="M369" s="5">
        <f t="shared" si="349"/>
        <v>0.699292124184828</v>
      </c>
      <c r="N369" s="5">
        <f t="shared" si="350"/>
        <v>0.77737924438067907</v>
      </c>
      <c r="O369" s="5">
        <f t="shared" si="360"/>
        <v>-4.7003415255423175E-2</v>
      </c>
      <c r="P369" s="2">
        <f t="shared" ref="P369:R369" si="398">(L369/L362)-1</f>
        <v>-2.2144307234523986E-3</v>
      </c>
      <c r="Q369" s="2">
        <f t="shared" si="398"/>
        <v>4.0354880611728206E-3</v>
      </c>
      <c r="R369" s="2">
        <f t="shared" si="398"/>
        <v>-3.5996413432259899E-3</v>
      </c>
      <c r="S369" s="3"/>
    </row>
    <row r="370" spans="3:19" x14ac:dyDescent="0.25">
      <c r="C370" s="1">
        <f t="shared" si="352"/>
        <v>43832</v>
      </c>
      <c r="D370">
        <v>64872</v>
      </c>
      <c r="E370">
        <v>37483</v>
      </c>
      <c r="F370">
        <v>25203</v>
      </c>
      <c r="G370">
        <v>19900</v>
      </c>
      <c r="H370">
        <f>'Total Traffic'!D368-'Page Sessions'!D370</f>
        <v>65813</v>
      </c>
      <c r="I370" s="2">
        <f t="shared" si="347"/>
        <v>0.30675792329510421</v>
      </c>
      <c r="J370" s="2">
        <f t="shared" si="359"/>
        <v>-1.8279575851339547E-2</v>
      </c>
      <c r="K370" s="2">
        <f>D370/'Total Traffic'!D368</f>
        <v>0.49639973983242147</v>
      </c>
      <c r="L370" s="5">
        <f t="shared" si="348"/>
        <v>0.57779935873720556</v>
      </c>
      <c r="M370" s="5">
        <f t="shared" si="349"/>
        <v>0.67238481444921694</v>
      </c>
      <c r="N370" s="5">
        <f t="shared" si="350"/>
        <v>0.78958854104670084</v>
      </c>
      <c r="O370" s="5">
        <f t="shared" si="360"/>
        <v>4.5725924697493703E-2</v>
      </c>
      <c r="P370" s="2">
        <f t="shared" ref="P370:R370" si="399">(L370/L363)-1</f>
        <v>-1.1123897336064892E-2</v>
      </c>
      <c r="Q370" s="2">
        <f t="shared" si="399"/>
        <v>-2.6371943014657395E-2</v>
      </c>
      <c r="R370" s="2">
        <f t="shared" si="399"/>
        <v>1.9654086503541723E-2</v>
      </c>
      <c r="S370" s="3"/>
    </row>
    <row r="371" spans="3:19" x14ac:dyDescent="0.25">
      <c r="C371" s="1">
        <f t="shared" si="352"/>
        <v>43833</v>
      </c>
      <c r="D371">
        <v>63529</v>
      </c>
      <c r="E371">
        <v>37818</v>
      </c>
      <c r="F371">
        <v>26408</v>
      </c>
      <c r="G371">
        <v>20946</v>
      </c>
      <c r="H371">
        <f>'Total Traffic'!D369-'Page Sessions'!D371</f>
        <v>67352</v>
      </c>
      <c r="I371" s="2">
        <f t="shared" si="347"/>
        <v>0.3297076925498591</v>
      </c>
      <c r="J371" s="2">
        <f t="shared" si="359"/>
        <v>0.10083661854196446</v>
      </c>
      <c r="K371" s="2">
        <f>D371/'Total Traffic'!D369</f>
        <v>0.48539512992718575</v>
      </c>
      <c r="L371" s="5">
        <f t="shared" si="348"/>
        <v>0.59528719167624233</v>
      </c>
      <c r="M371" s="5">
        <f t="shared" si="349"/>
        <v>0.69829181871066692</v>
      </c>
      <c r="N371" s="5">
        <f t="shared" si="350"/>
        <v>0.79316873674644051</v>
      </c>
      <c r="O371" s="5">
        <f t="shared" si="360"/>
        <v>-2.4606195216156923E-3</v>
      </c>
      <c r="P371" s="2">
        <f t="shared" ref="P371:R371" si="400">(L371/L364)-1</f>
        <v>3.4206519197341745E-2</v>
      </c>
      <c r="Q371" s="2">
        <f t="shared" si="400"/>
        <v>3.9903024600534076E-2</v>
      </c>
      <c r="R371" s="2">
        <f t="shared" si="400"/>
        <v>2.3582271327480697E-2</v>
      </c>
      <c r="S371" s="3"/>
    </row>
    <row r="372" spans="3:19" x14ac:dyDescent="0.25">
      <c r="C372" s="1">
        <f t="shared" si="352"/>
        <v>43834</v>
      </c>
      <c r="D372">
        <v>65244</v>
      </c>
      <c r="E372">
        <v>37900</v>
      </c>
      <c r="F372">
        <v>25760</v>
      </c>
      <c r="G372">
        <v>20597</v>
      </c>
      <c r="H372">
        <f>'Total Traffic'!D370-'Page Sessions'!D372</f>
        <v>65480</v>
      </c>
      <c r="I372" s="2">
        <f t="shared" si="347"/>
        <v>0.31569186438599717</v>
      </c>
      <c r="J372" s="2">
        <f t="shared" si="359"/>
        <v>2.965417398671133E-2</v>
      </c>
      <c r="K372" s="2">
        <f>D372/'Total Traffic'!D370</f>
        <v>0.49909733484287505</v>
      </c>
      <c r="L372" s="5">
        <f t="shared" si="348"/>
        <v>0.58089632763165966</v>
      </c>
      <c r="M372" s="5">
        <f t="shared" si="349"/>
        <v>0.67968337730870709</v>
      </c>
      <c r="N372" s="5">
        <f t="shared" si="350"/>
        <v>0.7995729813664596</v>
      </c>
      <c r="O372" s="5">
        <f t="shared" si="360"/>
        <v>1.3198308889178501E-2</v>
      </c>
      <c r="P372" s="2">
        <f t="shared" ref="P372:R372" si="401">(L372/L365)-1</f>
        <v>5.8899306979967037E-3</v>
      </c>
      <c r="Q372" s="2">
        <f t="shared" si="401"/>
        <v>5.461720467515141E-3</v>
      </c>
      <c r="R372" s="2">
        <f t="shared" si="401"/>
        <v>1.8064708273030528E-2</v>
      </c>
      <c r="S372" s="3"/>
    </row>
    <row r="373" spans="3:19" x14ac:dyDescent="0.25">
      <c r="C373" s="1">
        <f t="shared" si="352"/>
        <v>43835</v>
      </c>
      <c r="D373">
        <v>64367</v>
      </c>
      <c r="E373">
        <v>38356</v>
      </c>
      <c r="F373">
        <v>26335</v>
      </c>
      <c r="G373">
        <v>20638</v>
      </c>
      <c r="H373">
        <f>'Total Traffic'!D371-'Page Sessions'!D373</f>
        <v>65984</v>
      </c>
      <c r="I373" s="2">
        <f t="shared" si="347"/>
        <v>0.32063013656065997</v>
      </c>
      <c r="J373" s="2">
        <f t="shared" si="359"/>
        <v>3.0882747368700114E-2</v>
      </c>
      <c r="K373" s="2">
        <f>D373/'Total Traffic'!D371</f>
        <v>0.49379751593773735</v>
      </c>
      <c r="L373" s="5">
        <f t="shared" si="348"/>
        <v>0.59589541224540521</v>
      </c>
      <c r="M373" s="5">
        <f t="shared" si="349"/>
        <v>0.68659401397434561</v>
      </c>
      <c r="N373" s="5">
        <f t="shared" si="350"/>
        <v>0.78367191949876591</v>
      </c>
      <c r="O373" s="5">
        <f t="shared" si="360"/>
        <v>-5.6417649497448874E-3</v>
      </c>
      <c r="P373" s="2">
        <f t="shared" ref="P373:R373" si="402">(L373/L366)-1</f>
        <v>1.241700916199262E-2</v>
      </c>
      <c r="Q373" s="2">
        <f t="shared" si="402"/>
        <v>1.6281392193333577E-3</v>
      </c>
      <c r="R373" s="2">
        <f t="shared" si="402"/>
        <v>1.6584120657503476E-2</v>
      </c>
      <c r="S373" s="3"/>
    </row>
    <row r="374" spans="3:19" x14ac:dyDescent="0.25">
      <c r="C374" s="1">
        <f t="shared" si="352"/>
        <v>43836</v>
      </c>
      <c r="D374">
        <v>63410</v>
      </c>
      <c r="E374">
        <v>37805</v>
      </c>
      <c r="F374">
        <v>25748</v>
      </c>
      <c r="G374">
        <v>20052</v>
      </c>
      <c r="H374">
        <f>'Total Traffic'!D372-'Page Sessions'!D374</f>
        <v>67279</v>
      </c>
      <c r="I374" s="2">
        <f t="shared" si="347"/>
        <v>0.31622772433370133</v>
      </c>
      <c r="J374" s="2">
        <f t="shared" si="359"/>
        <v>8.9965963959566242E-3</v>
      </c>
      <c r="K374" s="2">
        <f>D374/'Total Traffic'!D372</f>
        <v>0.48519768304907068</v>
      </c>
      <c r="L374" s="5">
        <f t="shared" si="348"/>
        <v>0.59619933764390476</v>
      </c>
      <c r="M374" s="5">
        <f t="shared" si="349"/>
        <v>0.68107393201957411</v>
      </c>
      <c r="N374" s="5">
        <f t="shared" si="350"/>
        <v>0.77877893428615819</v>
      </c>
      <c r="O374" s="5">
        <f t="shared" si="360"/>
        <v>-6.9616710660685976E-3</v>
      </c>
      <c r="P374" s="2">
        <f t="shared" ref="P374:R374" si="403">(L374/L367)-1</f>
        <v>2.6532920999509546E-2</v>
      </c>
      <c r="Q374" s="2">
        <f t="shared" si="403"/>
        <v>5.1309043191729575E-3</v>
      </c>
      <c r="R374" s="2">
        <f t="shared" si="403"/>
        <v>-2.2100569504783785E-2</v>
      </c>
      <c r="S374" s="3"/>
    </row>
    <row r="375" spans="3:19" x14ac:dyDescent="0.25">
      <c r="C375" s="1">
        <f t="shared" si="352"/>
        <v>43837</v>
      </c>
      <c r="D375">
        <v>63258</v>
      </c>
      <c r="E375">
        <v>37239</v>
      </c>
      <c r="F375">
        <v>25959</v>
      </c>
      <c r="G375">
        <v>20006</v>
      </c>
      <c r="H375">
        <f>'Total Traffic'!D373-'Page Sessions'!D375</f>
        <v>67225</v>
      </c>
      <c r="I375" s="2">
        <f t="shared" si="347"/>
        <v>0.31626039394226818</v>
      </c>
      <c r="J375" s="2">
        <f t="shared" si="359"/>
        <v>3.5841432975936005E-3</v>
      </c>
      <c r="K375" s="2">
        <f>D375/'Total Traffic'!D373</f>
        <v>0.48479878604875731</v>
      </c>
      <c r="L375" s="5">
        <f t="shared" si="348"/>
        <v>0.58868443517025515</v>
      </c>
      <c r="M375" s="5">
        <f t="shared" si="349"/>
        <v>0.69709175864013539</v>
      </c>
      <c r="N375" s="5">
        <f t="shared" si="350"/>
        <v>0.77067683654994412</v>
      </c>
      <c r="O375" s="5">
        <f t="shared" si="360"/>
        <v>-8.59043040314178E-3</v>
      </c>
      <c r="P375" s="2">
        <f t="shared" ref="P375:R375" si="404">(L375/L368)-1</f>
        <v>1.8865247112936911E-2</v>
      </c>
      <c r="Q375" s="2">
        <f t="shared" si="404"/>
        <v>3.0107025593868464E-3</v>
      </c>
      <c r="R375" s="2">
        <f t="shared" si="404"/>
        <v>-1.7954805803624407E-2</v>
      </c>
      <c r="S375" s="3"/>
    </row>
    <row r="376" spans="3:19" x14ac:dyDescent="0.25">
      <c r="C376" s="1">
        <f t="shared" si="352"/>
        <v>43838</v>
      </c>
      <c r="D376">
        <v>64957</v>
      </c>
      <c r="E376">
        <v>37551</v>
      </c>
      <c r="F376">
        <v>25598</v>
      </c>
      <c r="G376">
        <v>20158</v>
      </c>
      <c r="H376">
        <f>'Total Traffic'!D374-'Page Sessions'!D376</f>
        <v>66005</v>
      </c>
      <c r="I376" s="2">
        <f t="shared" si="347"/>
        <v>0.31032837107625044</v>
      </c>
      <c r="J376" s="2">
        <f t="shared" si="359"/>
        <v>-2.2161761947114611E-2</v>
      </c>
      <c r="K376" s="2">
        <f>D376/'Total Traffic'!D374</f>
        <v>0.49599883935798172</v>
      </c>
      <c r="L376" s="5">
        <f t="shared" si="348"/>
        <v>0.57809012115707314</v>
      </c>
      <c r="M376" s="5">
        <f t="shared" si="349"/>
        <v>0.68168624004686962</v>
      </c>
      <c r="N376" s="5">
        <f t="shared" si="350"/>
        <v>0.78748339714040161</v>
      </c>
      <c r="O376" s="5">
        <f t="shared" si="360"/>
        <v>4.9963603957301927E-2</v>
      </c>
      <c r="P376" s="2">
        <f t="shared" ref="P376:R376" si="405">(L376/L369)-1</f>
        <v>-9.7777962020738629E-3</v>
      </c>
      <c r="Q376" s="2">
        <f t="shared" si="405"/>
        <v>-2.5176723044724292E-2</v>
      </c>
      <c r="R376" s="2">
        <f t="shared" si="405"/>
        <v>1.2997713577717507E-2</v>
      </c>
      <c r="S376" s="3"/>
    </row>
    <row r="377" spans="3:19" x14ac:dyDescent="0.25">
      <c r="C377" s="1">
        <f t="shared" si="352"/>
        <v>43839</v>
      </c>
      <c r="D377">
        <v>63341</v>
      </c>
      <c r="E377">
        <v>37782</v>
      </c>
      <c r="F377">
        <v>25827</v>
      </c>
      <c r="G377">
        <v>20111</v>
      </c>
      <c r="H377">
        <f>'Total Traffic'!D375-'Page Sessions'!D377</f>
        <v>67261</v>
      </c>
      <c r="I377" s="2">
        <f t="shared" si="347"/>
        <v>0.31750367060829476</v>
      </c>
      <c r="J377" s="2">
        <f t="shared" si="359"/>
        <v>3.503005626639677E-2</v>
      </c>
      <c r="K377" s="2">
        <f>D377/'Total Traffic'!D375</f>
        <v>0.4849925728549333</v>
      </c>
      <c r="L377" s="5">
        <f t="shared" si="348"/>
        <v>0.59648568857454098</v>
      </c>
      <c r="M377" s="5">
        <f t="shared" si="349"/>
        <v>0.68357948229315546</v>
      </c>
      <c r="N377" s="5">
        <f t="shared" si="350"/>
        <v>0.77868122507453441</v>
      </c>
      <c r="O377" s="5">
        <f t="shared" si="360"/>
        <v>-2.2979800475598777E-2</v>
      </c>
      <c r="P377" s="2">
        <f t="shared" ref="P377:R377" si="406">(L377/L370)-1</f>
        <v>3.2340516746461656E-2</v>
      </c>
      <c r="Q377" s="2">
        <f t="shared" si="406"/>
        <v>1.6649197904787139E-2</v>
      </c>
      <c r="R377" s="2">
        <f t="shared" si="406"/>
        <v>-1.3813923841533238E-2</v>
      </c>
      <c r="S377" s="3"/>
    </row>
    <row r="378" spans="3:19" x14ac:dyDescent="0.25">
      <c r="C378" s="1">
        <f t="shared" si="352"/>
        <v>43840</v>
      </c>
      <c r="D378">
        <v>64258</v>
      </c>
      <c r="E378">
        <v>36729</v>
      </c>
      <c r="F378">
        <v>25618</v>
      </c>
      <c r="G378">
        <v>19951</v>
      </c>
      <c r="H378">
        <f>'Total Traffic'!D376-'Page Sessions'!D378</f>
        <v>66454</v>
      </c>
      <c r="I378" s="2">
        <f t="shared" si="347"/>
        <v>0.3104827414485356</v>
      </c>
      <c r="J378" s="2">
        <f t="shared" si="359"/>
        <v>-5.8309076602500731E-2</v>
      </c>
      <c r="K378" s="2">
        <f>D378/'Total Traffic'!D376</f>
        <v>0.49159985311218557</v>
      </c>
      <c r="L378" s="5">
        <f t="shared" si="348"/>
        <v>0.57158641725543902</v>
      </c>
      <c r="M378" s="5">
        <f t="shared" si="349"/>
        <v>0.69748699937379177</v>
      </c>
      <c r="N378" s="5">
        <f t="shared" si="350"/>
        <v>0.77878835194004215</v>
      </c>
      <c r="O378" s="5">
        <f t="shared" si="360"/>
        <v>1.2782829497961057E-2</v>
      </c>
      <c r="P378" s="2">
        <f t="shared" ref="P378:R378" si="407">(L378/L371)-1</f>
        <v>-3.9814017086551745E-2</v>
      </c>
      <c r="Q378" s="2">
        <f t="shared" si="407"/>
        <v>-1.1525544411521427E-3</v>
      </c>
      <c r="R378" s="2">
        <f t="shared" si="407"/>
        <v>-1.8130297047998067E-2</v>
      </c>
      <c r="S378" s="3"/>
    </row>
    <row r="379" spans="3:19" x14ac:dyDescent="0.25">
      <c r="C379" s="1">
        <f t="shared" si="352"/>
        <v>43841</v>
      </c>
      <c r="D379">
        <v>64922</v>
      </c>
      <c r="E379">
        <v>38290</v>
      </c>
      <c r="F379">
        <v>25830</v>
      </c>
      <c r="G379">
        <v>20142</v>
      </c>
      <c r="H379">
        <f>'Total Traffic'!D377-'Page Sessions'!D379</f>
        <v>65627</v>
      </c>
      <c r="I379" s="2">
        <f t="shared" si="347"/>
        <v>0.31024922214349526</v>
      </c>
      <c r="J379" s="2">
        <f t="shared" si="359"/>
        <v>-1.7240362696984701E-2</v>
      </c>
      <c r="K379" s="2">
        <f>D379/'Total Traffic'!D377</f>
        <v>0.49729986441872398</v>
      </c>
      <c r="L379" s="5">
        <f t="shared" si="348"/>
        <v>0.5897846646745325</v>
      </c>
      <c r="M379" s="5">
        <f t="shared" si="349"/>
        <v>0.67458866544789764</v>
      </c>
      <c r="N379" s="5">
        <f t="shared" si="350"/>
        <v>0.77979094076655053</v>
      </c>
      <c r="O379" s="5">
        <f t="shared" si="360"/>
        <v>-3.6014426418785606E-3</v>
      </c>
      <c r="P379" s="2">
        <f t="shared" ref="P379:R379" si="408">(L379/L372)-1</f>
        <v>1.5301072876654276E-2</v>
      </c>
      <c r="Q379" s="2">
        <f t="shared" si="408"/>
        <v>-7.4957134908648637E-3</v>
      </c>
      <c r="R379" s="2">
        <f t="shared" si="408"/>
        <v>-2.4740756705037503E-2</v>
      </c>
      <c r="S379" s="3"/>
    </row>
    <row r="380" spans="3:19" x14ac:dyDescent="0.25">
      <c r="C380" s="1">
        <f t="shared" si="352"/>
        <v>43842</v>
      </c>
      <c r="D380">
        <v>61697</v>
      </c>
      <c r="E380">
        <v>35481</v>
      </c>
      <c r="F380">
        <v>24347</v>
      </c>
      <c r="G380">
        <v>19124</v>
      </c>
      <c r="H380">
        <f>'Total Traffic'!D378-'Page Sessions'!D380</f>
        <v>69295</v>
      </c>
      <c r="I380" s="2">
        <f t="shared" si="347"/>
        <v>0.30996644893592884</v>
      </c>
      <c r="J380" s="2">
        <f t="shared" si="359"/>
        <v>-3.3258531899460597E-2</v>
      </c>
      <c r="K380" s="2">
        <f>D380/'Total Traffic'!D378</f>
        <v>0.47099822889947479</v>
      </c>
      <c r="L380" s="5">
        <f t="shared" si="348"/>
        <v>0.57508468807235358</v>
      </c>
      <c r="M380" s="5">
        <f t="shared" si="349"/>
        <v>0.68619824694907139</v>
      </c>
      <c r="N380" s="5">
        <f t="shared" si="350"/>
        <v>0.78547665010062839</v>
      </c>
      <c r="O380" s="5">
        <f t="shared" si="360"/>
        <v>-4.6171327927735706E-2</v>
      </c>
      <c r="P380" s="2">
        <f t="shared" ref="P380:R380" si="409">(L380/L373)-1</f>
        <v>-3.492345090329585E-2</v>
      </c>
      <c r="Q380" s="2">
        <f t="shared" si="409"/>
        <v>-5.764207336782512E-4</v>
      </c>
      <c r="R380" s="2">
        <f t="shared" si="409"/>
        <v>2.3029159996146298E-3</v>
      </c>
      <c r="S380" s="3"/>
    </row>
    <row r="381" spans="3:19" x14ac:dyDescent="0.25">
      <c r="C381" s="1">
        <f t="shared" si="352"/>
        <v>43843</v>
      </c>
      <c r="D381">
        <v>61233</v>
      </c>
      <c r="E381">
        <v>36696</v>
      </c>
      <c r="F381">
        <v>24758</v>
      </c>
      <c r="G381">
        <v>19761</v>
      </c>
      <c r="H381">
        <f>'Total Traffic'!D379-'Page Sessions'!D381</f>
        <v>68912</v>
      </c>
      <c r="I381" s="2">
        <f t="shared" si="347"/>
        <v>0.32271814217823724</v>
      </c>
      <c r="J381" s="2">
        <f t="shared" si="359"/>
        <v>2.0524506060344283E-2</v>
      </c>
      <c r="K381" s="2">
        <f>D381/'Total Traffic'!D379</f>
        <v>0.47049829036843521</v>
      </c>
      <c r="L381" s="5">
        <f t="shared" si="348"/>
        <v>0.59928469942677964</v>
      </c>
      <c r="M381" s="5">
        <f t="shared" si="349"/>
        <v>0.67467843906692826</v>
      </c>
      <c r="N381" s="5">
        <f t="shared" si="350"/>
        <v>0.79816624929315771</v>
      </c>
      <c r="O381" s="5">
        <f t="shared" si="360"/>
        <v>-3.0295677811694843E-2</v>
      </c>
      <c r="P381" s="2">
        <f t="shared" ref="P381:R381" si="410">(L381/L374)-1</f>
        <v>5.1750506719243639E-3</v>
      </c>
      <c r="Q381" s="2">
        <f t="shared" si="410"/>
        <v>-9.3903064733096286E-3</v>
      </c>
      <c r="R381" s="2">
        <f t="shared" si="410"/>
        <v>2.4894503630571663E-2</v>
      </c>
      <c r="S381" s="3"/>
    </row>
    <row r="382" spans="3:19" x14ac:dyDescent="0.25">
      <c r="C382" s="1">
        <f t="shared" si="352"/>
        <v>43844</v>
      </c>
      <c r="D382">
        <v>62927</v>
      </c>
      <c r="E382">
        <v>37517</v>
      </c>
      <c r="F382">
        <v>26224</v>
      </c>
      <c r="G382">
        <v>20966</v>
      </c>
      <c r="H382">
        <f>'Total Traffic'!D380-'Page Sessions'!D382</f>
        <v>68035</v>
      </c>
      <c r="I382" s="2">
        <f t="shared" si="347"/>
        <v>0.33317971617906461</v>
      </c>
      <c r="J382" s="2">
        <f t="shared" si="359"/>
        <v>5.349807488029934E-2</v>
      </c>
      <c r="K382" s="2">
        <f>D382/'Total Traffic'!D380</f>
        <v>0.48049815977153676</v>
      </c>
      <c r="L382" s="5">
        <f t="shared" si="348"/>
        <v>0.59619877000333721</v>
      </c>
      <c r="M382" s="5">
        <f t="shared" si="349"/>
        <v>0.69898979129461314</v>
      </c>
      <c r="N382" s="5">
        <f t="shared" si="350"/>
        <v>0.79949664429530198</v>
      </c>
      <c r="O382" s="5">
        <f t="shared" si="360"/>
        <v>-8.8709510027280558E-3</v>
      </c>
      <c r="P382" s="2">
        <f t="shared" ref="P382:R382" si="411">(L382/L375)-1</f>
        <v>1.2764622918743918E-2</v>
      </c>
      <c r="Q382" s="2">
        <f t="shared" si="411"/>
        <v>2.7227873962825111E-3</v>
      </c>
      <c r="R382" s="2">
        <f t="shared" si="411"/>
        <v>3.7395450827838905E-2</v>
      </c>
      <c r="S382" s="3"/>
    </row>
    <row r="383" spans="3:19" x14ac:dyDescent="0.25">
      <c r="C383" s="1">
        <f t="shared" si="352"/>
        <v>43845</v>
      </c>
      <c r="D383">
        <v>64872</v>
      </c>
      <c r="E383">
        <v>38696</v>
      </c>
      <c r="F383">
        <v>26638</v>
      </c>
      <c r="G383">
        <v>20934</v>
      </c>
      <c r="H383">
        <f>'Total Traffic'!D381-'Page Sessions'!D383</f>
        <v>65368</v>
      </c>
      <c r="I383" s="2">
        <f t="shared" si="347"/>
        <v>0.32269700332963375</v>
      </c>
      <c r="J383" s="2">
        <f t="shared" si="359"/>
        <v>3.9856595162368169E-2</v>
      </c>
      <c r="K383" s="2">
        <f>D383/'Total Traffic'!D381</f>
        <v>0.49809582309582312</v>
      </c>
      <c r="L383" s="5">
        <f t="shared" si="348"/>
        <v>0.59649771858428902</v>
      </c>
      <c r="M383" s="5">
        <f t="shared" si="349"/>
        <v>0.68839156501964027</v>
      </c>
      <c r="N383" s="5">
        <f t="shared" si="350"/>
        <v>0.78586981004579926</v>
      </c>
      <c r="O383" s="5">
        <f t="shared" si="360"/>
        <v>4.2277996871036283E-3</v>
      </c>
      <c r="P383" s="2">
        <f t="shared" ref="P383:R383" si="412">(L383/L376)-1</f>
        <v>3.1842089586952671E-2</v>
      </c>
      <c r="Q383" s="2">
        <f t="shared" si="412"/>
        <v>9.8363801098722004E-3</v>
      </c>
      <c r="R383" s="2">
        <f t="shared" si="412"/>
        <v>-2.0490426851687005E-3</v>
      </c>
      <c r="S383" s="3"/>
    </row>
    <row r="384" spans="3:19" x14ac:dyDescent="0.25">
      <c r="C384" s="1">
        <f t="shared" si="352"/>
        <v>43846</v>
      </c>
      <c r="D384">
        <v>64585</v>
      </c>
      <c r="E384">
        <v>37272</v>
      </c>
      <c r="F384">
        <v>25333</v>
      </c>
      <c r="G384">
        <v>20152</v>
      </c>
      <c r="H384">
        <f>'Total Traffic'!D382-'Page Sessions'!D384</f>
        <v>66394</v>
      </c>
      <c r="I384" s="2">
        <f t="shared" si="347"/>
        <v>0.31202291553766354</v>
      </c>
      <c r="J384" s="2">
        <f t="shared" si="359"/>
        <v>-1.7262021129175742E-2</v>
      </c>
      <c r="K384" s="2">
        <f>D384/'Total Traffic'!D382</f>
        <v>0.49309431282877408</v>
      </c>
      <c r="L384" s="5">
        <f t="shared" si="348"/>
        <v>0.57709994580785007</v>
      </c>
      <c r="M384" s="5">
        <f t="shared" si="349"/>
        <v>0.67967911569006223</v>
      </c>
      <c r="N384" s="5">
        <f t="shared" si="350"/>
        <v>0.79548415110725146</v>
      </c>
      <c r="O384" s="5">
        <f t="shared" si="360"/>
        <v>1.6704874316217921E-2</v>
      </c>
      <c r="P384" s="2">
        <f t="shared" ref="P384:R384" si="413">(L384/L377)-1</f>
        <v>-3.2499929399845695E-2</v>
      </c>
      <c r="Q384" s="2">
        <f t="shared" si="413"/>
        <v>-5.7057982343310387E-3</v>
      </c>
      <c r="R384" s="2">
        <f t="shared" si="413"/>
        <v>2.1578696765301775E-2</v>
      </c>
      <c r="S384" s="3"/>
    </row>
    <row r="385" spans="3:19" x14ac:dyDescent="0.25">
      <c r="C385" s="1">
        <f t="shared" si="352"/>
        <v>43847</v>
      </c>
      <c r="D385">
        <v>64741</v>
      </c>
      <c r="E385">
        <v>38035</v>
      </c>
      <c r="F385">
        <v>25757</v>
      </c>
      <c r="G385">
        <v>19928</v>
      </c>
      <c r="H385">
        <f>'Total Traffic'!D383-'Page Sessions'!D385</f>
        <v>65839</v>
      </c>
      <c r="I385" s="2">
        <f t="shared" si="347"/>
        <v>0.30781112432616115</v>
      </c>
      <c r="J385" s="2">
        <f t="shared" si="359"/>
        <v>-8.6047202170085324E-3</v>
      </c>
      <c r="K385" s="2">
        <f>D385/'Total Traffic'!D383</f>
        <v>0.49579568080869962</v>
      </c>
      <c r="L385" s="5">
        <f t="shared" si="348"/>
        <v>0.58749478692018964</v>
      </c>
      <c r="M385" s="5">
        <f t="shared" si="349"/>
        <v>0.67719205994478771</v>
      </c>
      <c r="N385" s="5">
        <f t="shared" si="350"/>
        <v>0.77369258842256472</v>
      </c>
      <c r="O385" s="5">
        <f t="shared" si="360"/>
        <v>8.535046684720049E-3</v>
      </c>
      <c r="P385" s="2">
        <f t="shared" ref="P385:R385" si="414">(L385/L378)-1</f>
        <v>2.7831958885827124E-2</v>
      </c>
      <c r="Q385" s="2">
        <f t="shared" si="414"/>
        <v>-2.9097229693492488E-2</v>
      </c>
      <c r="R385" s="2">
        <f t="shared" si="414"/>
        <v>-6.5431943156101235E-3</v>
      </c>
      <c r="S385" s="3"/>
    </row>
    <row r="386" spans="3:19" x14ac:dyDescent="0.25">
      <c r="C386" s="1">
        <f t="shared" si="352"/>
        <v>43848</v>
      </c>
      <c r="D386">
        <v>61205</v>
      </c>
      <c r="E386">
        <v>35180</v>
      </c>
      <c r="F386">
        <v>23714</v>
      </c>
      <c r="G386">
        <v>18857</v>
      </c>
      <c r="H386">
        <f>'Total Traffic'!D384-'Page Sessions'!D386</f>
        <v>68854</v>
      </c>
      <c r="I386" s="2">
        <f t="shared" si="347"/>
        <v>0.30809574381178007</v>
      </c>
      <c r="J386" s="2">
        <f t="shared" si="359"/>
        <v>-6.9411240319537937E-3</v>
      </c>
      <c r="K386" s="2">
        <f>D386/'Total Traffic'!D384</f>
        <v>0.47059411497858666</v>
      </c>
      <c r="L386" s="5">
        <f t="shared" si="348"/>
        <v>0.57478964136916921</v>
      </c>
      <c r="M386" s="5">
        <f t="shared" si="349"/>
        <v>0.67407617964752697</v>
      </c>
      <c r="N386" s="5">
        <f t="shared" si="350"/>
        <v>0.79518427932866664</v>
      </c>
      <c r="O386" s="5">
        <f t="shared" si="360"/>
        <v>-5.3701501550483477E-2</v>
      </c>
      <c r="P386" s="2">
        <f t="shared" ref="P386:R386" si="415">(L386/L379)-1</f>
        <v>-2.5424573074713908E-2</v>
      </c>
      <c r="Q386" s="2">
        <f t="shared" si="415"/>
        <v>-7.5970117290724559E-4</v>
      </c>
      <c r="R386" s="2">
        <f t="shared" si="415"/>
        <v>1.9740340336583229E-2</v>
      </c>
      <c r="S386" s="3"/>
    </row>
    <row r="387" spans="3:19" x14ac:dyDescent="0.25">
      <c r="C387" s="1">
        <f t="shared" si="352"/>
        <v>43849</v>
      </c>
      <c r="D387">
        <v>63844</v>
      </c>
      <c r="E387">
        <v>37476</v>
      </c>
      <c r="F387">
        <v>25880</v>
      </c>
      <c r="G387">
        <v>20641</v>
      </c>
      <c r="H387">
        <f>'Total Traffic'!D385-'Page Sessions'!D387</f>
        <v>66638</v>
      </c>
      <c r="I387" s="2">
        <f t="shared" si="347"/>
        <v>0.32330367771442892</v>
      </c>
      <c r="J387" s="2">
        <f t="shared" si="359"/>
        <v>4.3027975525367079E-2</v>
      </c>
      <c r="K387" s="2">
        <f>D387/'Total Traffic'!D385</f>
        <v>0.48929354240431633</v>
      </c>
      <c r="L387" s="5">
        <f t="shared" si="348"/>
        <v>0.58699329615938856</v>
      </c>
      <c r="M387" s="5">
        <f t="shared" si="349"/>
        <v>0.69057530152631019</v>
      </c>
      <c r="N387" s="5">
        <f t="shared" si="350"/>
        <v>0.79756568778979908</v>
      </c>
      <c r="O387" s="5">
        <f t="shared" si="360"/>
        <v>3.8843699152733668E-2</v>
      </c>
      <c r="P387" s="2">
        <f t="shared" ref="P387:R387" si="416">(L387/L380)-1</f>
        <v>2.070757287409597E-2</v>
      </c>
      <c r="Q387" s="2">
        <f t="shared" si="416"/>
        <v>6.3787026514563472E-3</v>
      </c>
      <c r="R387" s="2">
        <f t="shared" si="416"/>
        <v>1.5390702814172652E-2</v>
      </c>
      <c r="S387" s="3"/>
    </row>
    <row r="388" spans="3:19" x14ac:dyDescent="0.25">
      <c r="C388" s="1">
        <f t="shared" si="352"/>
        <v>43850</v>
      </c>
      <c r="D388">
        <v>61633</v>
      </c>
      <c r="E388">
        <v>36412</v>
      </c>
      <c r="F388">
        <v>24752</v>
      </c>
      <c r="G388">
        <v>19118</v>
      </c>
      <c r="H388">
        <f>'Total Traffic'!D386-'Page Sessions'!D388</f>
        <v>68918</v>
      </c>
      <c r="I388" s="2">
        <f t="shared" si="347"/>
        <v>0.31019096912368377</v>
      </c>
      <c r="J388" s="2">
        <f t="shared" si="359"/>
        <v>-3.8817690787382841E-2</v>
      </c>
      <c r="K388" s="2">
        <f>D388/'Total Traffic'!D386</f>
        <v>0.47209902643411389</v>
      </c>
      <c r="L388" s="5">
        <f t="shared" si="348"/>
        <v>0.59078740285236808</v>
      </c>
      <c r="M388" s="5">
        <f t="shared" si="349"/>
        <v>0.67977589805558603</v>
      </c>
      <c r="N388" s="5">
        <f t="shared" si="350"/>
        <v>0.77238202973497094</v>
      </c>
      <c r="O388" s="5">
        <f t="shared" si="360"/>
        <v>3.4022144149028488E-3</v>
      </c>
      <c r="P388" s="2">
        <f t="shared" ref="P388:R388" si="417">(L388/L381)-1</f>
        <v>-1.4179064779293205E-2</v>
      </c>
      <c r="Q388" s="2">
        <f t="shared" si="417"/>
        <v>7.5553903807974443E-3</v>
      </c>
      <c r="R388" s="2">
        <f t="shared" si="417"/>
        <v>-3.2304322039450883E-2</v>
      </c>
      <c r="S388" s="3"/>
    </row>
    <row r="389" spans="3:19" x14ac:dyDescent="0.25">
      <c r="C389" s="1">
        <f t="shared" si="352"/>
        <v>43851</v>
      </c>
      <c r="D389">
        <v>64266</v>
      </c>
      <c r="E389">
        <v>38000</v>
      </c>
      <c r="F389">
        <v>25581</v>
      </c>
      <c r="G389">
        <v>20313</v>
      </c>
      <c r="H389">
        <f>'Total Traffic'!D387-'Page Sessions'!D389</f>
        <v>66356</v>
      </c>
      <c r="I389" s="2">
        <f t="shared" ref="I389:I452" si="418">G389/D389</f>
        <v>0.31607693025861267</v>
      </c>
      <c r="J389" s="2">
        <f t="shared" si="359"/>
        <v>-5.1332014195186515E-2</v>
      </c>
      <c r="K389" s="2">
        <f>D389/'Total Traffic'!D387</f>
        <v>0.4919998162637228</v>
      </c>
      <c r="L389" s="5">
        <f t="shared" ref="L389:L452" si="419">E389/D389</f>
        <v>0.59129244079295429</v>
      </c>
      <c r="M389" s="5">
        <f t="shared" ref="M389:M452" si="420">F389/E389</f>
        <v>0.67318421052631583</v>
      </c>
      <c r="N389" s="5">
        <f t="shared" ref="N389:N452" si="421">G389/F389</f>
        <v>0.79406590829130996</v>
      </c>
      <c r="O389" s="5">
        <f t="shared" si="360"/>
        <v>2.3936941814001411E-2</v>
      </c>
      <c r="P389" s="2">
        <f t="shared" ref="P389:R389" si="422">(L389/L382)-1</f>
        <v>-8.2293514465913153E-3</v>
      </c>
      <c r="Q389" s="2">
        <f t="shared" si="422"/>
        <v>-3.6918394359526041E-2</v>
      </c>
      <c r="R389" s="2">
        <f t="shared" si="422"/>
        <v>-6.7926939315409163E-3</v>
      </c>
      <c r="S389" s="3"/>
    </row>
    <row r="390" spans="3:19" x14ac:dyDescent="0.25">
      <c r="C390" s="1">
        <f t="shared" ref="C390:C453" si="423">C389+1</f>
        <v>43852</v>
      </c>
      <c r="D390">
        <v>64086</v>
      </c>
      <c r="E390">
        <v>38220</v>
      </c>
      <c r="F390">
        <v>26643</v>
      </c>
      <c r="G390">
        <v>21045</v>
      </c>
      <c r="H390">
        <f>'Total Traffic'!D388-'Page Sessions'!D390</f>
        <v>66409</v>
      </c>
      <c r="I390" s="2">
        <f t="shared" si="418"/>
        <v>0.32838685516337424</v>
      </c>
      <c r="J390" s="2">
        <f t="shared" si="359"/>
        <v>1.7632180575065215E-2</v>
      </c>
      <c r="K390" s="2">
        <f>D390/'Total Traffic'!D388</f>
        <v>0.49109927583432317</v>
      </c>
      <c r="L390" s="5">
        <f t="shared" si="419"/>
        <v>0.59638610616983434</v>
      </c>
      <c r="M390" s="5">
        <f t="shared" si="420"/>
        <v>0.69709576138147566</v>
      </c>
      <c r="N390" s="5">
        <f t="shared" si="421"/>
        <v>0.78988852606688431</v>
      </c>
      <c r="O390" s="5">
        <f t="shared" si="360"/>
        <v>-1.4046588903344315E-2</v>
      </c>
      <c r="P390" s="2">
        <f t="shared" ref="P390:R390" si="424">(L390/L383)-1</f>
        <v>-1.8711289411055265E-4</v>
      </c>
      <c r="Q390" s="2">
        <f t="shared" si="424"/>
        <v>1.2644251911464233E-2</v>
      </c>
      <c r="R390" s="2">
        <f t="shared" si="424"/>
        <v>5.1137172718860313E-3</v>
      </c>
      <c r="S390" s="3"/>
    </row>
    <row r="391" spans="3:19" x14ac:dyDescent="0.25">
      <c r="C391" s="1">
        <f t="shared" si="423"/>
        <v>43853</v>
      </c>
      <c r="D391">
        <v>63346</v>
      </c>
      <c r="E391">
        <v>37633</v>
      </c>
      <c r="F391">
        <v>26316</v>
      </c>
      <c r="G391">
        <v>20871</v>
      </c>
      <c r="H391">
        <f>'Total Traffic'!D389-'Page Sessions'!D391</f>
        <v>67617</v>
      </c>
      <c r="I391" s="2">
        <f t="shared" si="418"/>
        <v>0.32947621002115368</v>
      </c>
      <c r="J391" s="2">
        <f t="shared" si="359"/>
        <v>5.5935938081391967E-2</v>
      </c>
      <c r="K391" s="2">
        <f>D391/'Total Traffic'!D389</f>
        <v>0.48369386773363471</v>
      </c>
      <c r="L391" s="5">
        <f t="shared" si="419"/>
        <v>0.59408644586872095</v>
      </c>
      <c r="M391" s="5">
        <f t="shared" si="420"/>
        <v>0.6992798873329259</v>
      </c>
      <c r="N391" s="5">
        <f t="shared" si="421"/>
        <v>0.79309165526675784</v>
      </c>
      <c r="O391" s="5">
        <f t="shared" si="360"/>
        <v>-1.90641928948867E-2</v>
      </c>
      <c r="P391" s="2">
        <f t="shared" ref="P391:R391" si="425">(L391/L384)-1</f>
        <v>2.9434243035826979E-2</v>
      </c>
      <c r="Q391" s="2">
        <f t="shared" si="425"/>
        <v>2.8838272635408835E-2</v>
      </c>
      <c r="R391" s="2">
        <f t="shared" si="425"/>
        <v>-3.0075971182624839E-3</v>
      </c>
      <c r="S391" s="3"/>
    </row>
    <row r="392" spans="3:19" x14ac:dyDescent="0.25">
      <c r="C392" s="1">
        <f t="shared" si="423"/>
        <v>43854</v>
      </c>
      <c r="D392">
        <v>62747</v>
      </c>
      <c r="E392">
        <v>35885</v>
      </c>
      <c r="F392">
        <v>25108</v>
      </c>
      <c r="G392">
        <v>19890</v>
      </c>
      <c r="H392">
        <f>'Total Traffic'!D390-'Page Sessions'!D392</f>
        <v>67787</v>
      </c>
      <c r="I392" s="2">
        <f t="shared" si="418"/>
        <v>0.31698726632348956</v>
      </c>
      <c r="J392" s="2">
        <f t="shared" si="359"/>
        <v>2.9810949871991177E-2</v>
      </c>
      <c r="K392" s="2">
        <f>D392/'Total Traffic'!D390</f>
        <v>0.4806946849096787</v>
      </c>
      <c r="L392" s="5">
        <f t="shared" si="419"/>
        <v>0.57189985178574276</v>
      </c>
      <c r="M392" s="5">
        <f t="shared" si="420"/>
        <v>0.69967953183781528</v>
      </c>
      <c r="N392" s="5">
        <f t="shared" si="421"/>
        <v>0.79217779193882432</v>
      </c>
      <c r="O392" s="5">
        <f t="shared" si="360"/>
        <v>-3.0458102971751333E-2</v>
      </c>
      <c r="P392" s="2">
        <f t="shared" ref="P392:R392" si="426">(L392/L385)-1</f>
        <v>-2.6544805982364306E-2</v>
      </c>
      <c r="Q392" s="2">
        <f t="shared" si="426"/>
        <v>3.3206933783099801E-2</v>
      </c>
      <c r="R392" s="2">
        <f t="shared" si="426"/>
        <v>2.389218120073755E-2</v>
      </c>
      <c r="S392" s="3"/>
    </row>
    <row r="393" spans="3:19" x14ac:dyDescent="0.25">
      <c r="C393" s="1">
        <f t="shared" si="423"/>
        <v>43855</v>
      </c>
      <c r="D393">
        <v>61644</v>
      </c>
      <c r="E393">
        <v>35531</v>
      </c>
      <c r="F393">
        <v>24811</v>
      </c>
      <c r="G393">
        <v>19166</v>
      </c>
      <c r="H393">
        <f>'Total Traffic'!D391-'Page Sessions'!D393</f>
        <v>68489</v>
      </c>
      <c r="I393" s="2">
        <f t="shared" si="418"/>
        <v>0.31091428200635912</v>
      </c>
      <c r="J393" s="2">
        <f t="shared" si="359"/>
        <v>9.148254239762954E-3</v>
      </c>
      <c r="K393" s="2">
        <f>D393/'Total Traffic'!D391</f>
        <v>0.4736999838626636</v>
      </c>
      <c r="L393" s="5">
        <f t="shared" si="419"/>
        <v>0.57639024073713585</v>
      </c>
      <c r="M393" s="5">
        <f t="shared" si="420"/>
        <v>0.69829163265880501</v>
      </c>
      <c r="N393" s="5">
        <f t="shared" si="421"/>
        <v>0.77247994840997947</v>
      </c>
      <c r="O393" s="5">
        <f t="shared" si="360"/>
        <v>6.5998889174767594E-3</v>
      </c>
      <c r="P393" s="2">
        <f t="shared" ref="P393:R393" si="427">(L393/L386)-1</f>
        <v>2.7846698213871424E-3</v>
      </c>
      <c r="Q393" s="2">
        <f t="shared" si="427"/>
        <v>3.5923911484218696E-2</v>
      </c>
      <c r="R393" s="2">
        <f t="shared" si="427"/>
        <v>-2.855228845552038E-2</v>
      </c>
      <c r="S393" s="3"/>
    </row>
    <row r="394" spans="3:19" x14ac:dyDescent="0.25">
      <c r="C394" s="1">
        <f t="shared" si="423"/>
        <v>43856</v>
      </c>
      <c r="D394">
        <v>61670</v>
      </c>
      <c r="E394">
        <v>36483</v>
      </c>
      <c r="F394">
        <v>25439</v>
      </c>
      <c r="G394">
        <v>20213</v>
      </c>
      <c r="H394">
        <f>'Total Traffic'!D392-'Page Sessions'!D394</f>
        <v>68436</v>
      </c>
      <c r="I394" s="2">
        <f t="shared" si="418"/>
        <v>0.3277606615858602</v>
      </c>
      <c r="J394" s="2">
        <f t="shared" si="359"/>
        <v>1.378575060741527E-2</v>
      </c>
      <c r="K394" s="2">
        <f>D394/'Total Traffic'!D392</f>
        <v>0.47399812460609042</v>
      </c>
      <c r="L394" s="5">
        <f t="shared" si="419"/>
        <v>0.59158423868980059</v>
      </c>
      <c r="M394" s="5">
        <f t="shared" si="420"/>
        <v>0.69728366636515637</v>
      </c>
      <c r="N394" s="5">
        <f t="shared" si="421"/>
        <v>0.79456739651715869</v>
      </c>
      <c r="O394" s="5">
        <f t="shared" si="360"/>
        <v>-3.1260207774389315E-2</v>
      </c>
      <c r="P394" s="2">
        <f t="shared" ref="P394:R394" si="428">(L394/L387)-1</f>
        <v>7.8211157784082719E-3</v>
      </c>
      <c r="Q394" s="2">
        <f t="shared" si="428"/>
        <v>9.714168496931963E-3</v>
      </c>
      <c r="R394" s="2">
        <f t="shared" si="428"/>
        <v>-3.7593032380182079E-3</v>
      </c>
      <c r="S394" s="3"/>
    </row>
    <row r="395" spans="3:19" x14ac:dyDescent="0.25">
      <c r="C395" s="1">
        <f t="shared" si="423"/>
        <v>43857</v>
      </c>
      <c r="D395">
        <v>62044</v>
      </c>
      <c r="E395">
        <v>36258</v>
      </c>
      <c r="F395">
        <v>24673</v>
      </c>
      <c r="G395">
        <v>19082</v>
      </c>
      <c r="H395">
        <f>'Total Traffic'!D393-'Page Sessions'!D395</f>
        <v>68438</v>
      </c>
      <c r="I395" s="2">
        <f t="shared" si="418"/>
        <v>0.30755592805106052</v>
      </c>
      <c r="J395" s="2">
        <f t="shared" si="359"/>
        <v>-8.4948993842969278E-3</v>
      </c>
      <c r="K395" s="2">
        <f>D395/'Total Traffic'!D393</f>
        <v>0.47549853619656351</v>
      </c>
      <c r="L395" s="5">
        <f t="shared" si="419"/>
        <v>0.58439172200373923</v>
      </c>
      <c r="M395" s="5">
        <f t="shared" si="420"/>
        <v>0.68048430691157813</v>
      </c>
      <c r="N395" s="5">
        <f t="shared" si="421"/>
        <v>0.77339601994082596</v>
      </c>
      <c r="O395" s="5">
        <f t="shared" si="360"/>
        <v>7.2008404425805139E-3</v>
      </c>
      <c r="P395" s="2">
        <f t="shared" ref="P395:R395" si="429">(L395/L388)-1</f>
        <v>-1.0825689271216632E-2</v>
      </c>
      <c r="Q395" s="2">
        <f t="shared" si="429"/>
        <v>1.0421211726077129E-3</v>
      </c>
      <c r="R395" s="2">
        <f t="shared" si="429"/>
        <v>1.3128091628478167E-3</v>
      </c>
      <c r="S395" s="3"/>
    </row>
    <row r="396" spans="3:19" x14ac:dyDescent="0.25">
      <c r="C396" s="1">
        <f t="shared" si="423"/>
        <v>43858</v>
      </c>
      <c r="D396">
        <v>64292</v>
      </c>
      <c r="E396">
        <v>37675</v>
      </c>
      <c r="F396">
        <v>25671</v>
      </c>
      <c r="G396">
        <v>20321</v>
      </c>
      <c r="H396">
        <f>'Total Traffic'!D394-'Page Sessions'!D396</f>
        <v>66729</v>
      </c>
      <c r="I396" s="2">
        <f t="shared" si="418"/>
        <v>0.31607353947614009</v>
      </c>
      <c r="J396" s="2">
        <f t="shared" ref="J396:J459" si="430">(I396/I389)-1</f>
        <v>-1.0727712616676044E-5</v>
      </c>
      <c r="K396" s="2">
        <f>D396/'Total Traffic'!D394</f>
        <v>0.49069996412788791</v>
      </c>
      <c r="L396" s="5">
        <f t="shared" si="419"/>
        <v>0.58599825794811178</v>
      </c>
      <c r="M396" s="5">
        <f t="shared" si="420"/>
        <v>0.68138022561380229</v>
      </c>
      <c r="N396" s="5">
        <f t="shared" si="421"/>
        <v>0.7915936270499786</v>
      </c>
      <c r="O396" s="5">
        <f t="shared" ref="O396:O459" si="431">(K396/K389)-1</f>
        <v>-2.6419768724834647E-3</v>
      </c>
      <c r="P396" s="2">
        <f t="shared" ref="P396:R396" si="432">(L396/L389)-1</f>
        <v>-8.9535777554381468E-3</v>
      </c>
      <c r="Q396" s="2">
        <f t="shared" si="432"/>
        <v>1.2174996025350326E-2</v>
      </c>
      <c r="R396" s="2">
        <f t="shared" si="432"/>
        <v>-3.1134458934917175E-3</v>
      </c>
      <c r="S396" s="3"/>
    </row>
    <row r="397" spans="3:19" x14ac:dyDescent="0.25">
      <c r="C397" s="1">
        <f t="shared" si="423"/>
        <v>43859</v>
      </c>
      <c r="D397">
        <v>64061</v>
      </c>
      <c r="E397">
        <v>36566</v>
      </c>
      <c r="F397">
        <v>24846</v>
      </c>
      <c r="G397">
        <v>19596</v>
      </c>
      <c r="H397">
        <f>'Total Traffic'!D395-'Page Sessions'!D397</f>
        <v>66784</v>
      </c>
      <c r="I397" s="2">
        <f t="shared" si="418"/>
        <v>0.30589594292939543</v>
      </c>
      <c r="J397" s="2">
        <f t="shared" si="430"/>
        <v>-6.8489075857769866E-2</v>
      </c>
      <c r="K397" s="2">
        <f>D397/'Total Traffic'!D395</f>
        <v>0.48959455844701744</v>
      </c>
      <c r="L397" s="5">
        <f t="shared" si="419"/>
        <v>0.5707997065297139</v>
      </c>
      <c r="M397" s="5">
        <f t="shared" si="420"/>
        <v>0.67948367335776405</v>
      </c>
      <c r="N397" s="5">
        <f t="shared" si="421"/>
        <v>0.78869838203332532</v>
      </c>
      <c r="O397" s="5">
        <f t="shared" si="431"/>
        <v>-3.0639780210414136E-3</v>
      </c>
      <c r="P397" s="2">
        <f t="shared" ref="P397:R397" si="433">(L397/L390)-1</f>
        <v>-4.2902407308654023E-2</v>
      </c>
      <c r="Q397" s="2">
        <f t="shared" si="433"/>
        <v>-2.5264947801158177E-2</v>
      </c>
      <c r="R397" s="2">
        <f t="shared" si="433"/>
        <v>-1.5067240430559625E-3</v>
      </c>
      <c r="S397" s="3"/>
    </row>
    <row r="398" spans="3:19" x14ac:dyDescent="0.25">
      <c r="C398" s="1">
        <f t="shared" si="423"/>
        <v>43860</v>
      </c>
      <c r="D398">
        <v>63922</v>
      </c>
      <c r="E398">
        <v>37745</v>
      </c>
      <c r="F398">
        <v>25368</v>
      </c>
      <c r="G398">
        <v>20177</v>
      </c>
      <c r="H398">
        <f>'Total Traffic'!D396-'Page Sessions'!D398</f>
        <v>66319</v>
      </c>
      <c r="I398" s="2">
        <f t="shared" si="418"/>
        <v>0.31565032383217045</v>
      </c>
      <c r="J398" s="2">
        <f t="shared" si="430"/>
        <v>-4.1963230632328652E-2</v>
      </c>
      <c r="K398" s="2">
        <f>D398/'Total Traffic'!D396</f>
        <v>0.49079782864075061</v>
      </c>
      <c r="L398" s="5">
        <f t="shared" si="419"/>
        <v>0.5904852789337004</v>
      </c>
      <c r="M398" s="5">
        <f t="shared" si="420"/>
        <v>0.67208901841303481</v>
      </c>
      <c r="N398" s="5">
        <f t="shared" si="421"/>
        <v>0.79537212235887733</v>
      </c>
      <c r="O398" s="5">
        <f t="shared" si="431"/>
        <v>1.4686894709667886E-2</v>
      </c>
      <c r="P398" s="2">
        <f t="shared" ref="P398:R398" si="434">(L398/L391)-1</f>
        <v>-6.0616884294585338E-3</v>
      </c>
      <c r="Q398" s="2">
        <f t="shared" si="434"/>
        <v>-3.8884099789567639E-2</v>
      </c>
      <c r="R398" s="2">
        <f t="shared" si="434"/>
        <v>2.8754143067517557E-3</v>
      </c>
      <c r="S398" s="3"/>
    </row>
    <row r="399" spans="3:19" x14ac:dyDescent="0.25">
      <c r="C399" s="1">
        <f t="shared" si="423"/>
        <v>43861</v>
      </c>
      <c r="D399">
        <v>63326</v>
      </c>
      <c r="E399">
        <v>36583</v>
      </c>
      <c r="F399">
        <v>24671</v>
      </c>
      <c r="G399">
        <v>19176</v>
      </c>
      <c r="H399">
        <f>'Total Traffic'!D397-'Page Sessions'!D399</f>
        <v>67432</v>
      </c>
      <c r="I399" s="2">
        <f t="shared" si="418"/>
        <v>0.30281401004326819</v>
      </c>
      <c r="J399" s="2">
        <f t="shared" si="430"/>
        <v>-4.4712383701108638E-2</v>
      </c>
      <c r="K399" s="2">
        <f>D399/'Total Traffic'!D397</f>
        <v>0.48429923981706663</v>
      </c>
      <c r="L399" s="5">
        <f t="shared" si="419"/>
        <v>0.57769320658181478</v>
      </c>
      <c r="M399" s="5">
        <f t="shared" si="420"/>
        <v>0.67438427684990299</v>
      </c>
      <c r="N399" s="5">
        <f t="shared" si="421"/>
        <v>0.77726885817356406</v>
      </c>
      <c r="O399" s="5">
        <f t="shared" si="431"/>
        <v>7.4986369114216078E-3</v>
      </c>
      <c r="P399" s="2">
        <f t="shared" ref="P399:R399" si="435">(L399/L392)-1</f>
        <v>1.0130016257186236E-2</v>
      </c>
      <c r="Q399" s="2">
        <f t="shared" si="435"/>
        <v>-3.6152629649563228E-2</v>
      </c>
      <c r="R399" s="2">
        <f t="shared" si="435"/>
        <v>-1.8820186474517553E-2</v>
      </c>
      <c r="S399" s="3"/>
    </row>
    <row r="400" spans="3:19" x14ac:dyDescent="0.25">
      <c r="C400" s="1">
        <f t="shared" si="423"/>
        <v>43862</v>
      </c>
      <c r="D400">
        <v>65082</v>
      </c>
      <c r="E400">
        <v>37702</v>
      </c>
      <c r="F400">
        <v>25335</v>
      </c>
      <c r="G400">
        <v>19822</v>
      </c>
      <c r="H400">
        <f>'Total Traffic'!D398-'Page Sessions'!D400</f>
        <v>65292</v>
      </c>
      <c r="I400" s="2">
        <f t="shared" si="418"/>
        <v>0.30456961986417136</v>
      </c>
      <c r="J400" s="2">
        <f t="shared" si="430"/>
        <v>-2.04064673428479E-2</v>
      </c>
      <c r="K400" s="2">
        <f>D400/'Total Traffic'!D398</f>
        <v>0.49919462469510795</v>
      </c>
      <c r="L400" s="5">
        <f t="shared" si="419"/>
        <v>0.57929996005039797</v>
      </c>
      <c r="M400" s="5">
        <f t="shared" si="420"/>
        <v>0.67198026629887009</v>
      </c>
      <c r="N400" s="5">
        <f t="shared" si="421"/>
        <v>0.78239589500690743</v>
      </c>
      <c r="O400" s="5">
        <f t="shared" si="431"/>
        <v>5.3820227361113471E-2</v>
      </c>
      <c r="P400" s="2">
        <f t="shared" ref="P400:R400" si="436">(L400/L393)-1</f>
        <v>5.0481758843468061E-3</v>
      </c>
      <c r="Q400" s="2">
        <f t="shared" si="436"/>
        <v>-3.7679624284988389E-2</v>
      </c>
      <c r="R400" s="2">
        <f t="shared" si="436"/>
        <v>1.2836510018594316E-2</v>
      </c>
      <c r="S400" s="3"/>
    </row>
    <row r="401" spans="3:19" x14ac:dyDescent="0.25">
      <c r="C401" s="1">
        <f t="shared" si="423"/>
        <v>43863</v>
      </c>
      <c r="D401">
        <v>61775</v>
      </c>
      <c r="E401">
        <v>37065</v>
      </c>
      <c r="F401">
        <v>24989</v>
      </c>
      <c r="G401">
        <v>19773</v>
      </c>
      <c r="H401">
        <f>'Total Traffic'!D399-'Page Sessions'!D401</f>
        <v>68333</v>
      </c>
      <c r="I401" s="2">
        <f t="shared" si="418"/>
        <v>0.3200809388911372</v>
      </c>
      <c r="J401" s="2">
        <f t="shared" si="430"/>
        <v>-2.3430885993349193E-2</v>
      </c>
      <c r="K401" s="2">
        <f>D401/'Total Traffic'!D399</f>
        <v>0.47479786023918591</v>
      </c>
      <c r="L401" s="5">
        <f t="shared" si="419"/>
        <v>0.6</v>
      </c>
      <c r="M401" s="5">
        <f t="shared" si="420"/>
        <v>0.67419398354242543</v>
      </c>
      <c r="N401" s="5">
        <f t="shared" si="421"/>
        <v>0.79126815798951544</v>
      </c>
      <c r="O401" s="5">
        <f t="shared" si="431"/>
        <v>1.687212652497605E-3</v>
      </c>
      <c r="P401" s="2">
        <f t="shared" ref="P401:R401" si="437">(L401/L394)-1</f>
        <v>1.4225803799029491E-2</v>
      </c>
      <c r="Q401" s="2">
        <f t="shared" si="437"/>
        <v>-3.3113758340410082E-2</v>
      </c>
      <c r="R401" s="2">
        <f t="shared" si="437"/>
        <v>-4.1522450356066276E-3</v>
      </c>
      <c r="S401" s="3"/>
    </row>
    <row r="402" spans="3:19" x14ac:dyDescent="0.25">
      <c r="C402" s="1">
        <f t="shared" si="423"/>
        <v>43864</v>
      </c>
      <c r="D402">
        <v>62283</v>
      </c>
      <c r="E402">
        <v>37319</v>
      </c>
      <c r="F402">
        <v>25641</v>
      </c>
      <c r="G402">
        <v>19802</v>
      </c>
      <c r="H402">
        <f>'Total Traffic'!D400-'Page Sessions'!D402</f>
        <v>67853</v>
      </c>
      <c r="I402" s="2">
        <f t="shared" si="418"/>
        <v>0.31793587335227913</v>
      </c>
      <c r="J402" s="2">
        <f t="shared" si="430"/>
        <v>3.3749781273912927E-2</v>
      </c>
      <c r="K402" s="2">
        <f>D402/'Total Traffic'!D400</f>
        <v>0.47859931148951868</v>
      </c>
      <c r="L402" s="5">
        <f t="shared" si="419"/>
        <v>0.59918436812613396</v>
      </c>
      <c r="M402" s="5">
        <f t="shared" si="420"/>
        <v>0.68707628821779787</v>
      </c>
      <c r="N402" s="5">
        <f t="shared" si="421"/>
        <v>0.77227877227877229</v>
      </c>
      <c r="O402" s="5">
        <f t="shared" si="431"/>
        <v>6.5211037614494316E-3</v>
      </c>
      <c r="P402" s="2">
        <f t="shared" ref="P402:R402" si="438">(L402/L395)-1</f>
        <v>2.5312894699593524E-2</v>
      </c>
      <c r="Q402" s="2">
        <f t="shared" si="438"/>
        <v>9.6871907834845672E-3</v>
      </c>
      <c r="R402" s="2">
        <f t="shared" si="438"/>
        <v>-1.4445997047400905E-3</v>
      </c>
      <c r="S402" s="3"/>
    </row>
    <row r="403" spans="3:19" x14ac:dyDescent="0.25">
      <c r="C403" s="1">
        <f t="shared" si="423"/>
        <v>43865</v>
      </c>
      <c r="D403">
        <v>63562</v>
      </c>
      <c r="E403">
        <v>37209</v>
      </c>
      <c r="F403">
        <v>25183</v>
      </c>
      <c r="G403">
        <v>19655</v>
      </c>
      <c r="H403">
        <f>'Total Traffic'!D401-'Page Sessions'!D403</f>
        <v>67225</v>
      </c>
      <c r="I403" s="2">
        <f t="shared" si="418"/>
        <v>0.3092256379597873</v>
      </c>
      <c r="J403" s="2">
        <f t="shared" si="430"/>
        <v>-2.1665532419140487E-2</v>
      </c>
      <c r="K403" s="2">
        <f>D403/'Total Traffic'!D401</f>
        <v>0.48599631461842535</v>
      </c>
      <c r="L403" s="5">
        <f t="shared" si="419"/>
        <v>0.58539693527579373</v>
      </c>
      <c r="M403" s="5">
        <f t="shared" si="420"/>
        <v>0.67679862398881996</v>
      </c>
      <c r="N403" s="5">
        <f t="shared" si="421"/>
        <v>0.78048683635786043</v>
      </c>
      <c r="O403" s="5">
        <f t="shared" si="431"/>
        <v>-9.585591712488295E-3</v>
      </c>
      <c r="P403" s="2">
        <f t="shared" ref="P403:R403" si="439">(L403/L396)-1</f>
        <v>-1.0261509555055115E-3</v>
      </c>
      <c r="Q403" s="2">
        <f t="shared" si="439"/>
        <v>-6.7240014499322376E-3</v>
      </c>
      <c r="R403" s="2">
        <f t="shared" si="439"/>
        <v>-1.4030924849041115E-2</v>
      </c>
      <c r="S403" s="3"/>
    </row>
    <row r="404" spans="3:19" x14ac:dyDescent="0.25">
      <c r="C404" s="1">
        <f t="shared" si="423"/>
        <v>43866</v>
      </c>
      <c r="D404">
        <v>62673</v>
      </c>
      <c r="E404">
        <v>36657</v>
      </c>
      <c r="F404">
        <v>24860</v>
      </c>
      <c r="G404">
        <v>19241</v>
      </c>
      <c r="H404">
        <f>'Total Traffic'!D402-'Page Sessions'!D404</f>
        <v>67652</v>
      </c>
      <c r="I404" s="2">
        <f t="shared" si="418"/>
        <v>0.30700620681952356</v>
      </c>
      <c r="J404" s="2">
        <f t="shared" si="430"/>
        <v>3.6295476151000372E-3</v>
      </c>
      <c r="K404" s="2">
        <f>D404/'Total Traffic'!D402</f>
        <v>0.48089775561097259</v>
      </c>
      <c r="L404" s="5">
        <f t="shared" si="419"/>
        <v>0.58489301613134848</v>
      </c>
      <c r="M404" s="5">
        <f t="shared" si="420"/>
        <v>0.67817879259077396</v>
      </c>
      <c r="N404" s="5">
        <f t="shared" si="421"/>
        <v>0.77397425583266288</v>
      </c>
      <c r="O404" s="5">
        <f t="shared" si="431"/>
        <v>-1.7763275114067612E-2</v>
      </c>
      <c r="P404" s="2">
        <f t="shared" ref="P404:R404" si="440">(L404/L397)-1</f>
        <v>2.4690463993609191E-2</v>
      </c>
      <c r="Q404" s="2">
        <f t="shared" si="440"/>
        <v>-1.9204004719375334E-3</v>
      </c>
      <c r="R404" s="2">
        <f t="shared" si="440"/>
        <v>-1.8668893630417349E-2</v>
      </c>
      <c r="S404" s="3"/>
    </row>
    <row r="405" spans="3:19" x14ac:dyDescent="0.25">
      <c r="C405" s="1">
        <f t="shared" si="423"/>
        <v>43867</v>
      </c>
      <c r="D405">
        <v>63728</v>
      </c>
      <c r="E405">
        <v>37771</v>
      </c>
      <c r="F405">
        <v>25453</v>
      </c>
      <c r="G405">
        <v>20082</v>
      </c>
      <c r="H405">
        <f>'Total Traffic'!D403-'Page Sessions'!D405</f>
        <v>66437</v>
      </c>
      <c r="I405" s="2">
        <f t="shared" si="418"/>
        <v>0.31512051217675119</v>
      </c>
      <c r="J405" s="2">
        <f t="shared" si="430"/>
        <v>-1.6784765147301872E-3</v>
      </c>
      <c r="K405" s="2">
        <f>D405/'Total Traffic'!D403</f>
        <v>0.48959397687550416</v>
      </c>
      <c r="L405" s="5">
        <f t="shared" si="419"/>
        <v>0.59269081094652276</v>
      </c>
      <c r="M405" s="5">
        <f t="shared" si="420"/>
        <v>0.67387678377591276</v>
      </c>
      <c r="N405" s="5">
        <f t="shared" si="421"/>
        <v>0.78898361686245233</v>
      </c>
      <c r="O405" s="5">
        <f t="shared" si="431"/>
        <v>-2.4528465592044135E-3</v>
      </c>
      <c r="P405" s="2">
        <f t="shared" ref="P405:R405" si="441">(L405/L398)-1</f>
        <v>3.7351176930355834E-3</v>
      </c>
      <c r="Q405" s="2">
        <f t="shared" si="441"/>
        <v>2.6600127570888255E-3</v>
      </c>
      <c r="R405" s="2">
        <f t="shared" si="441"/>
        <v>-8.0320963192401784E-3</v>
      </c>
      <c r="S405" s="3"/>
    </row>
    <row r="406" spans="3:19" x14ac:dyDescent="0.25">
      <c r="C406" s="1">
        <f t="shared" si="423"/>
        <v>43868</v>
      </c>
      <c r="D406">
        <v>62689</v>
      </c>
      <c r="E406">
        <v>37500</v>
      </c>
      <c r="F406">
        <v>26118</v>
      </c>
      <c r="G406">
        <v>20186</v>
      </c>
      <c r="H406">
        <f>'Total Traffic'!D404-'Page Sessions'!D406</f>
        <v>67642</v>
      </c>
      <c r="I406" s="2">
        <f t="shared" si="418"/>
        <v>0.32200226515018582</v>
      </c>
      <c r="J406" s="2">
        <f t="shared" si="430"/>
        <v>6.3366470739500746E-2</v>
      </c>
      <c r="K406" s="2">
        <f>D406/'Total Traffic'!D404</f>
        <v>0.48099838104518494</v>
      </c>
      <c r="L406" s="5">
        <f t="shared" si="419"/>
        <v>0.59819107020370399</v>
      </c>
      <c r="M406" s="5">
        <f t="shared" si="420"/>
        <v>0.69647999999999999</v>
      </c>
      <c r="N406" s="5">
        <f t="shared" si="421"/>
        <v>0.77287694310437249</v>
      </c>
      <c r="O406" s="5">
        <f t="shared" si="431"/>
        <v>-6.8157422116303934E-3</v>
      </c>
      <c r="P406" s="2">
        <f t="shared" ref="P406:R406" si="442">(L406/L399)-1</f>
        <v>3.5482265306829852E-2</v>
      </c>
      <c r="Q406" s="2">
        <f t="shared" si="442"/>
        <v>3.2764291678488933E-2</v>
      </c>
      <c r="R406" s="2">
        <f t="shared" si="442"/>
        <v>-5.6504451748031759E-3</v>
      </c>
      <c r="S406" s="3"/>
    </row>
    <row r="407" spans="3:19" x14ac:dyDescent="0.25">
      <c r="C407" s="1">
        <f t="shared" si="423"/>
        <v>43869</v>
      </c>
      <c r="D407">
        <v>63101</v>
      </c>
      <c r="E407">
        <v>36100</v>
      </c>
      <c r="F407">
        <v>24558</v>
      </c>
      <c r="G407">
        <v>19459</v>
      </c>
      <c r="H407">
        <f>'Total Traffic'!D405-'Page Sessions'!D407</f>
        <v>67300</v>
      </c>
      <c r="I407" s="2">
        <f t="shared" si="418"/>
        <v>0.30837863108350105</v>
      </c>
      <c r="J407" s="2">
        <f t="shared" si="430"/>
        <v>1.250620866594776E-2</v>
      </c>
      <c r="K407" s="2">
        <f>D407/'Total Traffic'!D405</f>
        <v>0.48389966334613999</v>
      </c>
      <c r="L407" s="5">
        <f t="shared" si="419"/>
        <v>0.57209869891126919</v>
      </c>
      <c r="M407" s="5">
        <f t="shared" si="420"/>
        <v>0.68027700831024929</v>
      </c>
      <c r="N407" s="5">
        <f t="shared" si="421"/>
        <v>0.79236908543040963</v>
      </c>
      <c r="O407" s="5">
        <f t="shared" si="431"/>
        <v>-3.0639274928710658E-2</v>
      </c>
      <c r="P407" s="2">
        <f t="shared" ref="P407:R407" si="443">(L407/L400)-1</f>
        <v>-1.2430971233801325E-2</v>
      </c>
      <c r="Q407" s="2">
        <f t="shared" si="443"/>
        <v>1.2346704847563394E-2</v>
      </c>
      <c r="R407" s="2">
        <f t="shared" si="443"/>
        <v>1.2746987154647726E-2</v>
      </c>
      <c r="S407" s="3"/>
    </row>
    <row r="408" spans="3:19" x14ac:dyDescent="0.25">
      <c r="C408" s="1">
        <f t="shared" si="423"/>
        <v>43870</v>
      </c>
      <c r="D408">
        <v>63000</v>
      </c>
      <c r="E408">
        <v>37056</v>
      </c>
      <c r="F408">
        <v>25446</v>
      </c>
      <c r="G408">
        <v>20173</v>
      </c>
      <c r="H408">
        <f>'Total Traffic'!D406-'Page Sessions'!D408</f>
        <v>67572</v>
      </c>
      <c r="I408" s="2">
        <f t="shared" si="418"/>
        <v>0.32020634920634922</v>
      </c>
      <c r="J408" s="2">
        <f t="shared" si="430"/>
        <v>3.9180813342554188E-4</v>
      </c>
      <c r="K408" s="2">
        <f>D408/'Total Traffic'!D406</f>
        <v>0.48249241797628895</v>
      </c>
      <c r="L408" s="5">
        <f t="shared" si="419"/>
        <v>0.58819047619047615</v>
      </c>
      <c r="M408" s="5">
        <f t="shared" si="420"/>
        <v>0.68669041450777202</v>
      </c>
      <c r="N408" s="5">
        <f t="shared" si="421"/>
        <v>0.7927768608032697</v>
      </c>
      <c r="O408" s="5">
        <f t="shared" si="431"/>
        <v>1.6205965488611973E-2</v>
      </c>
      <c r="P408" s="2">
        <f t="shared" ref="P408:R408" si="444">(L408/L401)-1</f>
        <v>-1.9682539682539746E-2</v>
      </c>
      <c r="Q408" s="2">
        <f t="shared" si="444"/>
        <v>1.8535364109431018E-2</v>
      </c>
      <c r="R408" s="2">
        <f t="shared" si="444"/>
        <v>1.9066896582666804E-3</v>
      </c>
      <c r="S408" s="3"/>
    </row>
    <row r="409" spans="3:19" x14ac:dyDescent="0.25">
      <c r="C409" s="1">
        <f t="shared" si="423"/>
        <v>43871</v>
      </c>
      <c r="D409">
        <v>62898</v>
      </c>
      <c r="E409">
        <v>37713</v>
      </c>
      <c r="F409">
        <v>25980</v>
      </c>
      <c r="G409">
        <v>20763</v>
      </c>
      <c r="H409">
        <f>'Total Traffic'!D407-'Page Sessions'!D409</f>
        <v>67380</v>
      </c>
      <c r="I409" s="2">
        <f t="shared" si="418"/>
        <v>0.3301058857197367</v>
      </c>
      <c r="J409" s="2">
        <f t="shared" si="430"/>
        <v>3.8278198176060929E-2</v>
      </c>
      <c r="K409" s="2">
        <f>D409/'Total Traffic'!D407</f>
        <v>0.48279832358494912</v>
      </c>
      <c r="L409" s="5">
        <f t="shared" si="419"/>
        <v>0.59958981207669559</v>
      </c>
      <c r="M409" s="5">
        <f t="shared" si="420"/>
        <v>0.68888712115185746</v>
      </c>
      <c r="N409" s="5">
        <f t="shared" si="421"/>
        <v>0.79919168591224021</v>
      </c>
      <c r="O409" s="5">
        <f t="shared" si="431"/>
        <v>8.7735439534213366E-3</v>
      </c>
      <c r="P409" s="2">
        <f t="shared" ref="P409:R409" si="445">(L409/L402)-1</f>
        <v>6.7665975971564762E-4</v>
      </c>
      <c r="Q409" s="2">
        <f t="shared" si="445"/>
        <v>2.6355631319436856E-3</v>
      </c>
      <c r="R409" s="2">
        <f t="shared" si="445"/>
        <v>3.4848703084322308E-2</v>
      </c>
      <c r="S409" s="3"/>
    </row>
    <row r="410" spans="3:19" x14ac:dyDescent="0.25">
      <c r="C410" s="1">
        <f t="shared" si="423"/>
        <v>43872</v>
      </c>
      <c r="D410">
        <v>63232</v>
      </c>
      <c r="E410">
        <v>37844</v>
      </c>
      <c r="F410">
        <v>25503</v>
      </c>
      <c r="G410">
        <v>20155</v>
      </c>
      <c r="H410">
        <f>'Total Traffic'!D408-'Page Sessions'!D410</f>
        <v>67251</v>
      </c>
      <c r="I410" s="2">
        <f t="shared" si="418"/>
        <v>0.31874683704453444</v>
      </c>
      <c r="J410" s="2">
        <f t="shared" si="430"/>
        <v>3.0790458215451455E-2</v>
      </c>
      <c r="K410" s="2">
        <f>D410/'Total Traffic'!D408</f>
        <v>0.48459952637508336</v>
      </c>
      <c r="L410" s="5">
        <f t="shared" si="419"/>
        <v>0.59849443319838058</v>
      </c>
      <c r="M410" s="5">
        <f t="shared" si="420"/>
        <v>0.67389810802240779</v>
      </c>
      <c r="N410" s="5">
        <f t="shared" si="421"/>
        <v>0.79029918048856995</v>
      </c>
      <c r="O410" s="5">
        <f t="shared" si="431"/>
        <v>-2.8740716777629904E-3</v>
      </c>
      <c r="P410" s="2">
        <f t="shared" ref="P410:R410" si="446">(L410/L403)-1</f>
        <v>2.2373704290775454E-2</v>
      </c>
      <c r="Q410" s="2">
        <f t="shared" si="446"/>
        <v>-4.2856410512739362E-3</v>
      </c>
      <c r="R410" s="2">
        <f t="shared" si="446"/>
        <v>1.2572081518374967E-2</v>
      </c>
      <c r="S410" s="3"/>
    </row>
    <row r="411" spans="3:19" x14ac:dyDescent="0.25">
      <c r="C411" s="1">
        <f t="shared" si="423"/>
        <v>43873</v>
      </c>
      <c r="D411">
        <v>61794</v>
      </c>
      <c r="E411">
        <v>36236</v>
      </c>
      <c r="F411">
        <v>24879</v>
      </c>
      <c r="G411">
        <v>19617</v>
      </c>
      <c r="H411">
        <f>'Total Traffic'!D409-'Page Sessions'!D411</f>
        <v>68354</v>
      </c>
      <c r="I411" s="2">
        <f t="shared" si="418"/>
        <v>0.31745800563161469</v>
      </c>
      <c r="J411" s="2">
        <f t="shared" si="430"/>
        <v>3.4044258975634678E-2</v>
      </c>
      <c r="K411" s="2">
        <f>D411/'Total Traffic'!D409</f>
        <v>0.47479792236530721</v>
      </c>
      <c r="L411" s="5">
        <f t="shared" si="419"/>
        <v>0.58639997410751854</v>
      </c>
      <c r="M411" s="5">
        <f t="shared" si="420"/>
        <v>0.68658240423887851</v>
      </c>
      <c r="N411" s="5">
        <f t="shared" si="421"/>
        <v>0.78849632219944532</v>
      </c>
      <c r="O411" s="5">
        <f t="shared" si="431"/>
        <v>-1.2684262245964639E-2</v>
      </c>
      <c r="P411" s="2">
        <f t="shared" ref="P411:R411" si="447">(L411/L404)-1</f>
        <v>2.5764677207764652E-3</v>
      </c>
      <c r="Q411" s="2">
        <f t="shared" si="447"/>
        <v>1.2391439749982691E-2</v>
      </c>
      <c r="R411" s="2">
        <f t="shared" si="447"/>
        <v>1.8762983726324567E-2</v>
      </c>
      <c r="S411" s="3"/>
    </row>
    <row r="412" spans="3:19" x14ac:dyDescent="0.25">
      <c r="C412" s="1">
        <f t="shared" si="423"/>
        <v>43874</v>
      </c>
      <c r="D412">
        <v>61971</v>
      </c>
      <c r="E412">
        <v>36507</v>
      </c>
      <c r="F412">
        <v>24883</v>
      </c>
      <c r="G412">
        <v>19777</v>
      </c>
      <c r="H412">
        <f>'Total Traffic'!D410-'Page Sessions'!D412</f>
        <v>68221</v>
      </c>
      <c r="I412" s="2">
        <f t="shared" si="418"/>
        <v>0.31913314292168915</v>
      </c>
      <c r="J412" s="2">
        <f t="shared" si="430"/>
        <v>1.273363868705335E-2</v>
      </c>
      <c r="K412" s="2">
        <f>D412/'Total Traffic'!D410</f>
        <v>0.47599698906230797</v>
      </c>
      <c r="L412" s="5">
        <f t="shared" si="419"/>
        <v>0.58909812654306049</v>
      </c>
      <c r="M412" s="5">
        <f t="shared" si="420"/>
        <v>0.6815953104883995</v>
      </c>
      <c r="N412" s="5">
        <f t="shared" si="421"/>
        <v>0.79479966242012623</v>
      </c>
      <c r="O412" s="5">
        <f t="shared" si="431"/>
        <v>-2.7771967089892713E-2</v>
      </c>
      <c r="P412" s="2">
        <f t="shared" ref="P412:R412" si="448">(L412/L405)-1</f>
        <v>-6.0616502518822113E-3</v>
      </c>
      <c r="Q412" s="2">
        <f t="shared" si="448"/>
        <v>1.1453913977029773E-2</v>
      </c>
      <c r="R412" s="2">
        <f t="shared" si="448"/>
        <v>7.3715669544605067E-3</v>
      </c>
      <c r="S412" s="3"/>
    </row>
    <row r="413" spans="3:19" x14ac:dyDescent="0.25">
      <c r="C413" s="1">
        <f t="shared" si="423"/>
        <v>43875</v>
      </c>
      <c r="D413">
        <v>63823</v>
      </c>
      <c r="E413">
        <v>38281</v>
      </c>
      <c r="F413">
        <v>26406</v>
      </c>
      <c r="G413">
        <v>20417</v>
      </c>
      <c r="H413">
        <f>'Total Traffic'!D411-'Page Sessions'!D413</f>
        <v>67097</v>
      </c>
      <c r="I413" s="2">
        <f t="shared" si="418"/>
        <v>0.31990034940381995</v>
      </c>
      <c r="J413" s="2">
        <f t="shared" si="430"/>
        <v>-6.5276427337723764E-3</v>
      </c>
      <c r="K413" s="2">
        <f>D413/'Total Traffic'!D411</f>
        <v>0.48749618087381608</v>
      </c>
      <c r="L413" s="5">
        <f t="shared" si="419"/>
        <v>0.59979944534102125</v>
      </c>
      <c r="M413" s="5">
        <f t="shared" si="420"/>
        <v>0.68979389253154311</v>
      </c>
      <c r="N413" s="5">
        <f t="shared" si="421"/>
        <v>0.77319548587442244</v>
      </c>
      <c r="O413" s="5">
        <f t="shared" si="431"/>
        <v>1.3508984821345438E-2</v>
      </c>
      <c r="P413" s="2">
        <f t="shared" ref="P413:R413" si="449">(L413/L406)-1</f>
        <v>2.6887314395542816E-3</v>
      </c>
      <c r="Q413" s="2">
        <f t="shared" si="449"/>
        <v>-9.5998556576741834E-3</v>
      </c>
      <c r="R413" s="2">
        <f t="shared" si="449"/>
        <v>4.1215198990207647E-4</v>
      </c>
      <c r="S413" s="3"/>
    </row>
    <row r="414" spans="3:19" x14ac:dyDescent="0.25">
      <c r="C414" s="1">
        <f t="shared" si="423"/>
        <v>43876</v>
      </c>
      <c r="D414">
        <v>62044</v>
      </c>
      <c r="E414">
        <v>36171</v>
      </c>
      <c r="F414">
        <v>24856</v>
      </c>
      <c r="G414">
        <v>19146</v>
      </c>
      <c r="H414">
        <f>'Total Traffic'!D412-'Page Sessions'!D414</f>
        <v>68906</v>
      </c>
      <c r="I414" s="2">
        <f t="shared" si="418"/>
        <v>0.30858745406485721</v>
      </c>
      <c r="J414" s="2">
        <f t="shared" si="430"/>
        <v>6.771642400202893E-4</v>
      </c>
      <c r="K414" s="2">
        <f>D414/'Total Traffic'!D412</f>
        <v>0.47379915998472699</v>
      </c>
      <c r="L414" s="5">
        <f t="shared" si="419"/>
        <v>0.58298949132873445</v>
      </c>
      <c r="M414" s="5">
        <f t="shared" si="420"/>
        <v>0.68718033783970589</v>
      </c>
      <c r="N414" s="5">
        <f t="shared" si="421"/>
        <v>0.77027679433537177</v>
      </c>
      <c r="O414" s="5">
        <f t="shared" si="431"/>
        <v>-2.0873135747953575E-2</v>
      </c>
      <c r="P414" s="2">
        <f t="shared" ref="P414:R414" si="450">(L414/L407)-1</f>
        <v>1.903656211452831E-2</v>
      </c>
      <c r="Q414" s="2">
        <f t="shared" si="450"/>
        <v>1.0147821321499384E-2</v>
      </c>
      <c r="R414" s="2">
        <f t="shared" si="450"/>
        <v>-2.7881313773160943E-2</v>
      </c>
      <c r="S414" s="3"/>
    </row>
    <row r="415" spans="3:19" x14ac:dyDescent="0.25">
      <c r="C415" s="1">
        <f t="shared" si="423"/>
        <v>43877</v>
      </c>
      <c r="D415">
        <v>63872</v>
      </c>
      <c r="E415">
        <v>36611</v>
      </c>
      <c r="F415">
        <v>25543</v>
      </c>
      <c r="G415">
        <v>20288</v>
      </c>
      <c r="H415">
        <f>'Total Traffic'!D413-'Page Sessions'!D415</f>
        <v>66294</v>
      </c>
      <c r="I415" s="2">
        <f t="shared" si="418"/>
        <v>0.31763527054108215</v>
      </c>
      <c r="J415" s="2">
        <f t="shared" si="430"/>
        <v>-8.0294431126667343E-3</v>
      </c>
      <c r="K415" s="2">
        <f>D415/'Total Traffic'!D413</f>
        <v>0.4906964952445339</v>
      </c>
      <c r="L415" s="5">
        <f t="shared" si="419"/>
        <v>0.57319326152304606</v>
      </c>
      <c r="M415" s="5">
        <f t="shared" si="420"/>
        <v>0.69768648766764085</v>
      </c>
      <c r="N415" s="5">
        <f t="shared" si="421"/>
        <v>0.79426848843127273</v>
      </c>
      <c r="O415" s="5">
        <f t="shared" si="431"/>
        <v>1.7003536143956888E-2</v>
      </c>
      <c r="P415" s="2">
        <f t="shared" ref="P415:R415" si="451">(L415/L408)-1</f>
        <v>-2.5497207579018077E-2</v>
      </c>
      <c r="Q415" s="2">
        <f t="shared" si="451"/>
        <v>1.6013144974145188E-2</v>
      </c>
      <c r="R415" s="2">
        <f t="shared" si="451"/>
        <v>1.8815226600983337E-3</v>
      </c>
      <c r="S415" s="3"/>
    </row>
    <row r="416" spans="3:19" x14ac:dyDescent="0.25">
      <c r="C416" s="1">
        <f t="shared" si="423"/>
        <v>43878</v>
      </c>
      <c r="D416">
        <v>62546</v>
      </c>
      <c r="E416">
        <v>36020</v>
      </c>
      <c r="F416">
        <v>25037</v>
      </c>
      <c r="G416">
        <v>19879</v>
      </c>
      <c r="H416">
        <f>'Total Traffic'!D414-'Page Sessions'!D416</f>
        <v>68441</v>
      </c>
      <c r="I416" s="2">
        <f t="shared" si="418"/>
        <v>0.31783007706328142</v>
      </c>
      <c r="J416" s="2">
        <f t="shared" si="430"/>
        <v>-3.7187487977350275E-2</v>
      </c>
      <c r="K416" s="2">
        <f>D416/'Total Traffic'!D414</f>
        <v>0.47749776695397256</v>
      </c>
      <c r="L416" s="5">
        <f t="shared" si="419"/>
        <v>0.57589614044063564</v>
      </c>
      <c r="M416" s="5">
        <f t="shared" si="420"/>
        <v>0.69508606329816769</v>
      </c>
      <c r="N416" s="5">
        <f t="shared" si="421"/>
        <v>0.79398490234453012</v>
      </c>
      <c r="O416" s="5">
        <f t="shared" si="431"/>
        <v>-1.0978821532804939E-2</v>
      </c>
      <c r="P416" s="2">
        <f t="shared" ref="P416:R416" si="452">(L416/L409)-1</f>
        <v>-3.9516468023357953E-2</v>
      </c>
      <c r="Q416" s="2">
        <f t="shared" si="452"/>
        <v>8.9984874966819728E-3</v>
      </c>
      <c r="R416" s="2">
        <f t="shared" si="452"/>
        <v>-6.5150622303669081E-3</v>
      </c>
      <c r="S416" s="3"/>
    </row>
    <row r="417" spans="3:19" x14ac:dyDescent="0.25">
      <c r="C417" s="1">
        <f t="shared" si="423"/>
        <v>43879</v>
      </c>
      <c r="D417">
        <v>61689</v>
      </c>
      <c r="E417">
        <v>36125</v>
      </c>
      <c r="F417">
        <v>25009</v>
      </c>
      <c r="G417">
        <v>19677</v>
      </c>
      <c r="H417">
        <f>'Total Traffic'!D415-'Page Sessions'!D417</f>
        <v>69147</v>
      </c>
      <c r="I417" s="2">
        <f t="shared" si="418"/>
        <v>0.31897096727131258</v>
      </c>
      <c r="J417" s="2">
        <f t="shared" si="430"/>
        <v>7.0316063009845386E-4</v>
      </c>
      <c r="K417" s="2">
        <f>D417/'Total Traffic'!D415</f>
        <v>0.47149867009080071</v>
      </c>
      <c r="L417" s="5">
        <f t="shared" si="419"/>
        <v>0.5855987291089173</v>
      </c>
      <c r="M417" s="5">
        <f t="shared" si="420"/>
        <v>0.6922906574394464</v>
      </c>
      <c r="N417" s="5">
        <f t="shared" si="421"/>
        <v>0.78679675316885922</v>
      </c>
      <c r="O417" s="5">
        <f t="shared" si="431"/>
        <v>-2.7034397623703965E-2</v>
      </c>
      <c r="P417" s="2">
        <f t="shared" ref="P417:R417" si="453">(L417/L410)-1</f>
        <v>-2.1546907329694109E-2</v>
      </c>
      <c r="Q417" s="2">
        <f t="shared" si="453"/>
        <v>2.7292774973078027E-2</v>
      </c>
      <c r="R417" s="2">
        <f t="shared" si="453"/>
        <v>-4.43177394862726E-3</v>
      </c>
      <c r="S417" s="3"/>
    </row>
    <row r="418" spans="3:19" x14ac:dyDescent="0.25">
      <c r="C418" s="1">
        <f t="shared" si="423"/>
        <v>43880</v>
      </c>
      <c r="D418">
        <v>63299</v>
      </c>
      <c r="E418">
        <v>36327</v>
      </c>
      <c r="F418">
        <v>24880</v>
      </c>
      <c r="G418">
        <v>19749</v>
      </c>
      <c r="H418">
        <f>'Total Traffic'!D416-'Page Sessions'!D418</f>
        <v>67431</v>
      </c>
      <c r="I418" s="2">
        <f t="shared" si="418"/>
        <v>0.31199545016508951</v>
      </c>
      <c r="J418" s="2">
        <f t="shared" si="430"/>
        <v>-1.7207175026683896E-2</v>
      </c>
      <c r="K418" s="2">
        <f>D418/'Total Traffic'!D416</f>
        <v>0.4841964354012086</v>
      </c>
      <c r="L418" s="5">
        <f t="shared" si="419"/>
        <v>0.5738953222009826</v>
      </c>
      <c r="M418" s="5">
        <f t="shared" si="420"/>
        <v>0.68489002670190213</v>
      </c>
      <c r="N418" s="5">
        <f t="shared" si="421"/>
        <v>0.79377009646302255</v>
      </c>
      <c r="O418" s="5">
        <f t="shared" si="431"/>
        <v>1.9794764452802704E-2</v>
      </c>
      <c r="P418" s="2">
        <f t="shared" ref="P418:R418" si="454">(L418/L411)-1</f>
        <v>-2.1324441437037267E-2</v>
      </c>
      <c r="Q418" s="2">
        <f t="shared" si="454"/>
        <v>-2.4649299581926964E-3</v>
      </c>
      <c r="R418" s="2">
        <f t="shared" si="454"/>
        <v>6.6883942449680323E-3</v>
      </c>
      <c r="S418" s="3"/>
    </row>
    <row r="419" spans="3:19" x14ac:dyDescent="0.25">
      <c r="C419" s="1">
        <f t="shared" si="423"/>
        <v>43881</v>
      </c>
      <c r="D419">
        <v>65217</v>
      </c>
      <c r="E419">
        <v>39032</v>
      </c>
      <c r="F419">
        <v>26206</v>
      </c>
      <c r="G419">
        <v>20511</v>
      </c>
      <c r="H419">
        <f>'Total Traffic'!D417-'Page Sessions'!D419</f>
        <v>65741</v>
      </c>
      <c r="I419" s="2">
        <f t="shared" si="418"/>
        <v>0.31450388702332216</v>
      </c>
      <c r="J419" s="2">
        <f t="shared" si="430"/>
        <v>-1.4505719637847081E-2</v>
      </c>
      <c r="K419" s="2">
        <f>D419/'Total Traffic'!D417</f>
        <v>0.49799935857297761</v>
      </c>
      <c r="L419" s="5">
        <f t="shared" si="419"/>
        <v>0.59849425763221242</v>
      </c>
      <c r="M419" s="5">
        <f t="shared" si="420"/>
        <v>0.67139782742365239</v>
      </c>
      <c r="N419" s="5">
        <f t="shared" si="421"/>
        <v>0.78268335495688013</v>
      </c>
      <c r="O419" s="5">
        <f t="shared" si="431"/>
        <v>4.6223757746899352E-2</v>
      </c>
      <c r="P419" s="2">
        <f t="shared" ref="P419:R419" si="455">(L419/L412)-1</f>
        <v>1.5950027110577025E-2</v>
      </c>
      <c r="Q419" s="2">
        <f t="shared" si="455"/>
        <v>-1.4961198981020107E-2</v>
      </c>
      <c r="R419" s="2">
        <f t="shared" si="455"/>
        <v>-1.5244479881071582E-2</v>
      </c>
      <c r="S419" s="3"/>
    </row>
    <row r="420" spans="3:19" x14ac:dyDescent="0.25">
      <c r="C420" s="1">
        <f t="shared" si="423"/>
        <v>43882</v>
      </c>
      <c r="D420">
        <v>63285</v>
      </c>
      <c r="E420">
        <v>36698</v>
      </c>
      <c r="F420">
        <v>25648</v>
      </c>
      <c r="G420">
        <v>20023</v>
      </c>
      <c r="H420">
        <f>'Total Traffic'!D418-'Page Sessions'!D420</f>
        <v>67767</v>
      </c>
      <c r="I420" s="2">
        <f t="shared" si="418"/>
        <v>0.31639409022675197</v>
      </c>
      <c r="J420" s="2">
        <f t="shared" si="430"/>
        <v>-1.0960473108586499E-2</v>
      </c>
      <c r="K420" s="2">
        <f>D420/'Total Traffic'!D418</f>
        <v>0.48289991758996431</v>
      </c>
      <c r="L420" s="5">
        <f t="shared" si="419"/>
        <v>0.57988464881093471</v>
      </c>
      <c r="M420" s="5">
        <f t="shared" si="420"/>
        <v>0.69889367267971003</v>
      </c>
      <c r="N420" s="5">
        <f t="shared" si="421"/>
        <v>0.7806846537741734</v>
      </c>
      <c r="O420" s="5">
        <f t="shared" si="431"/>
        <v>-9.4283062394727724E-3</v>
      </c>
      <c r="P420" s="2">
        <f t="shared" ref="P420:R420" si="456">(L420/L413)-1</f>
        <v>-3.3202425718756423E-2</v>
      </c>
      <c r="Q420" s="2">
        <f t="shared" si="456"/>
        <v>1.3192027715366983E-2</v>
      </c>
      <c r="R420" s="2">
        <f t="shared" si="456"/>
        <v>9.685995374483225E-3</v>
      </c>
      <c r="S420" s="3"/>
    </row>
    <row r="421" spans="3:19" x14ac:dyDescent="0.25">
      <c r="C421" s="1">
        <f t="shared" si="423"/>
        <v>43883</v>
      </c>
      <c r="D421">
        <v>64504</v>
      </c>
      <c r="E421">
        <v>37276</v>
      </c>
      <c r="F421">
        <v>25153</v>
      </c>
      <c r="G421">
        <v>19928</v>
      </c>
      <c r="H421">
        <f>'Total Traffic'!D419-'Page Sessions'!D421</f>
        <v>65572</v>
      </c>
      <c r="I421" s="2">
        <f t="shared" si="418"/>
        <v>0.30894208111124893</v>
      </c>
      <c r="J421" s="2">
        <f t="shared" si="430"/>
        <v>1.1491946341966042E-3</v>
      </c>
      <c r="K421" s="2">
        <f>D421/'Total Traffic'!D419</f>
        <v>0.49589470770933913</v>
      </c>
      <c r="L421" s="5">
        <f t="shared" si="419"/>
        <v>0.5778866426888255</v>
      </c>
      <c r="M421" s="5">
        <f t="shared" si="420"/>
        <v>0.67477733662410133</v>
      </c>
      <c r="N421" s="5">
        <f t="shared" si="421"/>
        <v>0.79227129964616549</v>
      </c>
      <c r="O421" s="5">
        <f t="shared" si="431"/>
        <v>4.6634839380729209E-2</v>
      </c>
      <c r="P421" s="2">
        <f t="shared" ref="P421:R421" si="457">(L421/L414)-1</f>
        <v>-8.7528998649335499E-3</v>
      </c>
      <c r="Q421" s="2">
        <f t="shared" si="457"/>
        <v>-1.8049121216995201E-2</v>
      </c>
      <c r="R421" s="2">
        <f t="shared" si="457"/>
        <v>2.8554028204590409E-2</v>
      </c>
      <c r="S421" s="3"/>
    </row>
    <row r="422" spans="3:19" x14ac:dyDescent="0.25">
      <c r="C422" s="1">
        <f t="shared" si="423"/>
        <v>43884</v>
      </c>
      <c r="D422">
        <v>64300</v>
      </c>
      <c r="E422">
        <v>37036</v>
      </c>
      <c r="F422">
        <v>25677</v>
      </c>
      <c r="G422">
        <v>19976</v>
      </c>
      <c r="H422">
        <f>'Total Traffic'!D420-'Page Sessions'!D422</f>
        <v>66604</v>
      </c>
      <c r="I422" s="2">
        <f t="shared" si="418"/>
        <v>0.31066874027993779</v>
      </c>
      <c r="J422" s="2">
        <f t="shared" si="430"/>
        <v>-2.1932483282719462E-2</v>
      </c>
      <c r="K422" s="2">
        <f>D422/'Total Traffic'!D420</f>
        <v>0.49119965776446861</v>
      </c>
      <c r="L422" s="5">
        <f t="shared" si="419"/>
        <v>0.57598755832037329</v>
      </c>
      <c r="M422" s="5">
        <f t="shared" si="420"/>
        <v>0.6932984123555459</v>
      </c>
      <c r="N422" s="5">
        <f t="shared" si="421"/>
        <v>0.7779725045760798</v>
      </c>
      <c r="O422" s="5">
        <f t="shared" si="431"/>
        <v>1.0254047559152824E-3</v>
      </c>
      <c r="P422" s="2">
        <f t="shared" ref="P422:R422" si="458">(L422/L415)-1</f>
        <v>4.8749644926082691E-3</v>
      </c>
      <c r="Q422" s="2">
        <f t="shared" si="458"/>
        <v>-6.2894658125948188E-3</v>
      </c>
      <c r="R422" s="2">
        <f t="shared" si="458"/>
        <v>-2.0516971392606109E-2</v>
      </c>
      <c r="S422" s="3"/>
    </row>
    <row r="423" spans="3:19" x14ac:dyDescent="0.25">
      <c r="C423" s="1">
        <f t="shared" si="423"/>
        <v>43885</v>
      </c>
      <c r="D423">
        <v>64256</v>
      </c>
      <c r="E423">
        <v>38431</v>
      </c>
      <c r="F423">
        <v>26317</v>
      </c>
      <c r="G423">
        <v>20958</v>
      </c>
      <c r="H423">
        <f>'Total Traffic'!D421-'Page Sessions'!D423</f>
        <v>66479</v>
      </c>
      <c r="I423" s="2">
        <f t="shared" si="418"/>
        <v>0.32616409362549803</v>
      </c>
      <c r="J423" s="2">
        <f t="shared" si="430"/>
        <v>2.622161073999707E-2</v>
      </c>
      <c r="K423" s="2">
        <f>D423/'Total Traffic'!D421</f>
        <v>0.49149806861207784</v>
      </c>
      <c r="L423" s="5">
        <f t="shared" si="419"/>
        <v>0.59809200697211151</v>
      </c>
      <c r="M423" s="5">
        <f t="shared" si="420"/>
        <v>0.68478571986157011</v>
      </c>
      <c r="N423" s="5">
        <f t="shared" si="421"/>
        <v>0.79636736710111333</v>
      </c>
      <c r="O423" s="5">
        <f t="shared" si="431"/>
        <v>2.9320140589170096E-2</v>
      </c>
      <c r="P423" s="2">
        <f t="shared" ref="P423:R423" si="459">(L423/L416)-1</f>
        <v>3.8541439979947079E-2</v>
      </c>
      <c r="Q423" s="2">
        <f t="shared" si="459"/>
        <v>-1.4818802995017144E-2</v>
      </c>
      <c r="R423" s="2">
        <f t="shared" si="459"/>
        <v>3.0006423920003744E-3</v>
      </c>
      <c r="S423" s="3"/>
    </row>
    <row r="424" spans="3:19" x14ac:dyDescent="0.25">
      <c r="C424" s="1">
        <f t="shared" si="423"/>
        <v>43886</v>
      </c>
      <c r="D424">
        <v>62080</v>
      </c>
      <c r="E424">
        <v>36316</v>
      </c>
      <c r="F424">
        <v>25177</v>
      </c>
      <c r="G424">
        <v>19645</v>
      </c>
      <c r="H424">
        <f>'Total Traffic'!D422-'Page Sessions'!D424</f>
        <v>68424</v>
      </c>
      <c r="I424" s="2">
        <f t="shared" si="418"/>
        <v>0.31644652061855671</v>
      </c>
      <c r="J424" s="2">
        <f t="shared" si="430"/>
        <v>-7.9143461687175565E-3</v>
      </c>
      <c r="K424" s="2">
        <f>D424/'Total Traffic'!D422</f>
        <v>0.47569423159443391</v>
      </c>
      <c r="L424" s="5">
        <f t="shared" si="419"/>
        <v>0.58498711340206189</v>
      </c>
      <c r="M424" s="5">
        <f t="shared" si="420"/>
        <v>0.69327569115541354</v>
      </c>
      <c r="N424" s="5">
        <f t="shared" si="421"/>
        <v>0.78027564840926245</v>
      </c>
      <c r="O424" s="5">
        <f t="shared" si="431"/>
        <v>8.8983527839543441E-3</v>
      </c>
      <c r="P424" s="2">
        <f t="shared" ref="P424:R424" si="460">(L424/L417)-1</f>
        <v>-1.0444279955765801E-3</v>
      </c>
      <c r="Q424" s="2">
        <f t="shared" si="460"/>
        <v>1.4228614894362668E-3</v>
      </c>
      <c r="R424" s="2">
        <f t="shared" si="460"/>
        <v>-8.2881693821597047E-3</v>
      </c>
      <c r="S424" s="3"/>
    </row>
    <row r="425" spans="3:19" x14ac:dyDescent="0.25">
      <c r="C425" s="1">
        <f t="shared" si="423"/>
        <v>43887</v>
      </c>
      <c r="D425">
        <v>63746</v>
      </c>
      <c r="E425">
        <v>37941</v>
      </c>
      <c r="F425">
        <v>25803</v>
      </c>
      <c r="G425">
        <v>20443</v>
      </c>
      <c r="H425">
        <f>'Total Traffic'!D423-'Page Sessions'!D425</f>
        <v>66695</v>
      </c>
      <c r="I425" s="2">
        <f t="shared" si="418"/>
        <v>0.32069463182003577</v>
      </c>
      <c r="J425" s="2">
        <f t="shared" si="430"/>
        <v>2.788239908736867E-2</v>
      </c>
      <c r="K425" s="2">
        <f>D425/'Total Traffic'!D423</f>
        <v>0.48869603882214946</v>
      </c>
      <c r="L425" s="5">
        <f t="shared" si="419"/>
        <v>0.5951902864493458</v>
      </c>
      <c r="M425" s="5">
        <f t="shared" si="420"/>
        <v>0.68008223294061831</v>
      </c>
      <c r="N425" s="5">
        <f t="shared" si="421"/>
        <v>0.79227221640894474</v>
      </c>
      <c r="O425" s="5">
        <f t="shared" si="431"/>
        <v>9.2929296706045772E-3</v>
      </c>
      <c r="P425" s="2">
        <f t="shared" ref="P425:R425" si="461">(L425/L418)-1</f>
        <v>3.7106007706585675E-2</v>
      </c>
      <c r="Q425" s="2">
        <f t="shared" si="461"/>
        <v>-7.0198040179323407E-3</v>
      </c>
      <c r="R425" s="2">
        <f t="shared" si="461"/>
        <v>-1.8870452045903763E-3</v>
      </c>
      <c r="S425" s="3"/>
    </row>
    <row r="426" spans="3:19" x14ac:dyDescent="0.25">
      <c r="C426" s="1">
        <f t="shared" si="423"/>
        <v>43888</v>
      </c>
      <c r="D426">
        <v>62875</v>
      </c>
      <c r="E426">
        <v>36989</v>
      </c>
      <c r="F426">
        <v>25829</v>
      </c>
      <c r="G426">
        <v>19963</v>
      </c>
      <c r="H426">
        <f>'Total Traffic'!D424-'Page Sessions'!D426</f>
        <v>68061</v>
      </c>
      <c r="I426" s="2">
        <f t="shared" si="418"/>
        <v>0.31750298210735589</v>
      </c>
      <c r="J426" s="2">
        <f t="shared" si="430"/>
        <v>9.5359555407064089E-3</v>
      </c>
      <c r="K426" s="2">
        <f>D426/'Total Traffic'!D424</f>
        <v>0.48019643184456529</v>
      </c>
      <c r="L426" s="5">
        <f t="shared" si="419"/>
        <v>0.58829423459244534</v>
      </c>
      <c r="M426" s="5">
        <f t="shared" si="420"/>
        <v>0.69828868041850278</v>
      </c>
      <c r="N426" s="5">
        <f t="shared" si="421"/>
        <v>0.7728909365441945</v>
      </c>
      <c r="O426" s="5">
        <f t="shared" si="431"/>
        <v>-3.574889489702715E-2</v>
      </c>
      <c r="P426" s="2">
        <f t="shared" ref="P426:R426" si="462">(L426/L419)-1</f>
        <v>-1.7042808531063991E-2</v>
      </c>
      <c r="Q426" s="2">
        <f t="shared" si="462"/>
        <v>4.0052040528695709E-2</v>
      </c>
      <c r="R426" s="2">
        <f t="shared" si="462"/>
        <v>-1.2511341081509419E-2</v>
      </c>
      <c r="S426" s="3"/>
    </row>
    <row r="427" spans="3:19" x14ac:dyDescent="0.25">
      <c r="C427" s="1">
        <f t="shared" si="423"/>
        <v>43889</v>
      </c>
      <c r="D427">
        <v>62916</v>
      </c>
      <c r="E427">
        <v>36937</v>
      </c>
      <c r="F427">
        <v>25279</v>
      </c>
      <c r="G427">
        <v>19795</v>
      </c>
      <c r="H427">
        <f>'Total Traffic'!D425-'Page Sessions'!D427</f>
        <v>68050</v>
      </c>
      <c r="I427" s="2">
        <f t="shared" si="418"/>
        <v>0.31462585034013607</v>
      </c>
      <c r="J427" s="2">
        <f t="shared" si="430"/>
        <v>-5.5887260262941219E-3</v>
      </c>
      <c r="K427" s="2">
        <f>D427/'Total Traffic'!D425</f>
        <v>0.48039949299818274</v>
      </c>
      <c r="L427" s="5">
        <f t="shared" si="419"/>
        <v>0.58708436645686313</v>
      </c>
      <c r="M427" s="5">
        <f t="shared" si="420"/>
        <v>0.68438151447058504</v>
      </c>
      <c r="N427" s="5">
        <f t="shared" si="421"/>
        <v>0.7830610388069148</v>
      </c>
      <c r="O427" s="5">
        <f t="shared" si="431"/>
        <v>-5.1779354286506374E-3</v>
      </c>
      <c r="P427" s="2">
        <f t="shared" ref="P427:R427" si="463">(L427/L420)-1</f>
        <v>1.2415775552416575E-2</v>
      </c>
      <c r="Q427" s="2">
        <f t="shared" si="463"/>
        <v>-2.0764472159952807E-2</v>
      </c>
      <c r="R427" s="2">
        <f t="shared" si="463"/>
        <v>3.0439755940543378E-3</v>
      </c>
      <c r="S427" s="3"/>
    </row>
    <row r="428" spans="3:19" x14ac:dyDescent="0.25">
      <c r="C428" s="1">
        <f t="shared" si="423"/>
        <v>43890</v>
      </c>
      <c r="D428">
        <v>63503</v>
      </c>
      <c r="E428">
        <v>37168</v>
      </c>
      <c r="F428">
        <v>25471</v>
      </c>
      <c r="G428">
        <v>19915</v>
      </c>
      <c r="H428">
        <f>'Total Traffic'!D426-'Page Sessions'!D428</f>
        <v>66708</v>
      </c>
      <c r="I428" s="2">
        <f t="shared" si="418"/>
        <v>0.31360723115443367</v>
      </c>
      <c r="J428" s="2">
        <f t="shared" si="430"/>
        <v>1.5100403371416604E-2</v>
      </c>
      <c r="K428" s="2">
        <f>D428/'Total Traffic'!D426</f>
        <v>0.4876930520462941</v>
      </c>
      <c r="L428" s="5">
        <f t="shared" si="419"/>
        <v>0.58529518290474469</v>
      </c>
      <c r="M428" s="5">
        <f t="shared" si="420"/>
        <v>0.68529380111924232</v>
      </c>
      <c r="N428" s="5">
        <f t="shared" si="421"/>
        <v>0.78186957716618899</v>
      </c>
      <c r="O428" s="5">
        <f t="shared" si="431"/>
        <v>-1.6539107063534786E-2</v>
      </c>
      <c r="P428" s="2">
        <f t="shared" ref="P428:R428" si="464">(L428/L421)-1</f>
        <v>1.2820057894829207E-2</v>
      </c>
      <c r="Q428" s="2">
        <f t="shared" si="464"/>
        <v>1.5585088479341369E-2</v>
      </c>
      <c r="R428" s="2">
        <f t="shared" si="464"/>
        <v>-1.3128990643258232E-2</v>
      </c>
      <c r="S428" s="3"/>
    </row>
    <row r="429" spans="3:19" x14ac:dyDescent="0.25">
      <c r="C429" s="1">
        <f t="shared" si="423"/>
        <v>43891</v>
      </c>
      <c r="D429">
        <v>61932</v>
      </c>
      <c r="E429">
        <v>36081</v>
      </c>
      <c r="F429">
        <v>24892</v>
      </c>
      <c r="G429">
        <v>19796</v>
      </c>
      <c r="H429">
        <f>'Total Traffic'!D427-'Page Sessions'!D429</f>
        <v>68562</v>
      </c>
      <c r="I429" s="2">
        <f t="shared" si="418"/>
        <v>0.31964089646709293</v>
      </c>
      <c r="J429" s="2">
        <f t="shared" si="430"/>
        <v>2.8880138307672887E-2</v>
      </c>
      <c r="K429" s="2">
        <f>D429/'Total Traffic'!D427</f>
        <v>0.47459653317393902</v>
      </c>
      <c r="L429" s="5">
        <f t="shared" si="419"/>
        <v>0.5825905832203061</v>
      </c>
      <c r="M429" s="5">
        <f t="shared" si="420"/>
        <v>0.6898921870236413</v>
      </c>
      <c r="N429" s="5">
        <f t="shared" si="421"/>
        <v>0.79527559055118113</v>
      </c>
      <c r="O429" s="5">
        <f t="shared" si="431"/>
        <v>-3.3801172961099302E-2</v>
      </c>
      <c r="P429" s="2">
        <f t="shared" ref="P429:R429" si="465">(L429/L422)-1</f>
        <v>1.1463832516083849E-2</v>
      </c>
      <c r="Q429" s="2">
        <f t="shared" si="465"/>
        <v>-4.9130724536519121E-3</v>
      </c>
      <c r="R429" s="2">
        <f t="shared" si="465"/>
        <v>2.2241256436858148E-2</v>
      </c>
      <c r="S429" s="3"/>
    </row>
    <row r="430" spans="3:19" x14ac:dyDescent="0.25">
      <c r="C430" s="1">
        <f t="shared" si="423"/>
        <v>43892</v>
      </c>
      <c r="D430">
        <v>62906</v>
      </c>
      <c r="E430">
        <v>37378</v>
      </c>
      <c r="F430">
        <v>25409</v>
      </c>
      <c r="G430">
        <v>20258</v>
      </c>
      <c r="H430">
        <f>'Total Traffic'!D428-'Page Sessions'!D430</f>
        <v>67363</v>
      </c>
      <c r="I430" s="2">
        <f t="shared" si="418"/>
        <v>0.32203605379455058</v>
      </c>
      <c r="J430" s="2">
        <f t="shared" si="430"/>
        <v>-1.2656328245889803E-2</v>
      </c>
      <c r="K430" s="2">
        <f>D430/'Total Traffic'!D428</f>
        <v>0.48289309045129691</v>
      </c>
      <c r="L430" s="5">
        <f t="shared" si="419"/>
        <v>0.59418815375321909</v>
      </c>
      <c r="M430" s="5">
        <f t="shared" si="420"/>
        <v>0.67978490020867888</v>
      </c>
      <c r="N430" s="5">
        <f t="shared" si="421"/>
        <v>0.7972765555511826</v>
      </c>
      <c r="O430" s="5">
        <f t="shared" si="431"/>
        <v>-1.7507654068876E-2</v>
      </c>
      <c r="P430" s="2">
        <f t="shared" ref="P430:R430" si="466">(L430/L423)-1</f>
        <v>-6.5271783828979579E-3</v>
      </c>
      <c r="Q430" s="2">
        <f t="shared" si="466"/>
        <v>-7.3027510765004688E-3</v>
      </c>
      <c r="R430" s="2">
        <f t="shared" si="466"/>
        <v>1.1416696459811693E-3</v>
      </c>
      <c r="S430" s="3"/>
    </row>
    <row r="431" spans="3:19" x14ac:dyDescent="0.25">
      <c r="C431" s="1">
        <f t="shared" si="423"/>
        <v>43893</v>
      </c>
      <c r="D431">
        <v>63259</v>
      </c>
      <c r="E431">
        <v>37518</v>
      </c>
      <c r="F431">
        <v>25639</v>
      </c>
      <c r="G431">
        <v>20449</v>
      </c>
      <c r="H431">
        <f>'Total Traffic'!D429-'Page Sessions'!D431</f>
        <v>67740</v>
      </c>
      <c r="I431" s="2">
        <f t="shared" si="418"/>
        <v>0.32325835059042984</v>
      </c>
      <c r="J431" s="2">
        <f t="shared" si="430"/>
        <v>2.1526006854359014E-2</v>
      </c>
      <c r="K431" s="2">
        <f>D431/'Total Traffic'!D429</f>
        <v>0.48289681600622908</v>
      </c>
      <c r="L431" s="5">
        <f t="shared" si="419"/>
        <v>0.59308556885186292</v>
      </c>
      <c r="M431" s="5">
        <f t="shared" si="420"/>
        <v>0.68337864491710643</v>
      </c>
      <c r="N431" s="5">
        <f t="shared" si="421"/>
        <v>0.79757400834665937</v>
      </c>
      <c r="O431" s="5">
        <f t="shared" si="431"/>
        <v>1.5141206122373019E-2</v>
      </c>
      <c r="P431" s="2">
        <f t="shared" ref="P431:R431" si="467">(L431/L424)-1</f>
        <v>1.3843818546195763E-2</v>
      </c>
      <c r="Q431" s="2">
        <f t="shared" si="467"/>
        <v>-1.4275772776357831E-2</v>
      </c>
      <c r="R431" s="2">
        <f t="shared" si="467"/>
        <v>2.2169549918240827E-2</v>
      </c>
      <c r="S431" s="3"/>
    </row>
    <row r="432" spans="3:19" x14ac:dyDescent="0.25">
      <c r="C432" s="1">
        <f t="shared" si="423"/>
        <v>43894</v>
      </c>
      <c r="D432">
        <v>64251</v>
      </c>
      <c r="E432">
        <v>38287</v>
      </c>
      <c r="F432">
        <v>26525</v>
      </c>
      <c r="G432">
        <v>20464</v>
      </c>
      <c r="H432">
        <f>'Total Traffic'!D430-'Page Sessions'!D432</f>
        <v>66342</v>
      </c>
      <c r="I432" s="2">
        <f t="shared" si="418"/>
        <v>0.31850087936374533</v>
      </c>
      <c r="J432" s="2">
        <f t="shared" si="430"/>
        <v>-6.8406273090393377E-3</v>
      </c>
      <c r="K432" s="2">
        <f>D432/'Total Traffic'!D430</f>
        <v>0.49199421102203028</v>
      </c>
      <c r="L432" s="5">
        <f t="shared" si="419"/>
        <v>0.59589734011921991</v>
      </c>
      <c r="M432" s="5">
        <f t="shared" si="420"/>
        <v>0.69279389871235664</v>
      </c>
      <c r="N432" s="5">
        <f t="shared" si="421"/>
        <v>0.77149858623939682</v>
      </c>
      <c r="O432" s="5">
        <f t="shared" si="431"/>
        <v>6.7489235391187119E-3</v>
      </c>
      <c r="P432" s="2">
        <f t="shared" ref="P432:R432" si="468">(L432/L425)-1</f>
        <v>1.1879455797105809E-3</v>
      </c>
      <c r="Q432" s="2">
        <f t="shared" si="468"/>
        <v>1.8691365773186197E-2</v>
      </c>
      <c r="R432" s="2">
        <f t="shared" si="468"/>
        <v>-2.6220318899615735E-2</v>
      </c>
      <c r="S432" s="3"/>
    </row>
    <row r="433" spans="3:19" x14ac:dyDescent="0.25">
      <c r="C433" s="1">
        <f t="shared" si="423"/>
        <v>43895</v>
      </c>
      <c r="D433">
        <v>63003</v>
      </c>
      <c r="E433">
        <v>36214</v>
      </c>
      <c r="F433">
        <v>24310</v>
      </c>
      <c r="G433">
        <v>19178</v>
      </c>
      <c r="H433">
        <f>'Total Traffic'!D431-'Page Sessions'!D433</f>
        <v>67413</v>
      </c>
      <c r="I433" s="2">
        <f t="shared" si="418"/>
        <v>0.3043982032601622</v>
      </c>
      <c r="J433" s="2">
        <f t="shared" si="430"/>
        <v>-4.1274506337589667E-2</v>
      </c>
      <c r="K433" s="2">
        <f>D433/'Total Traffic'!D431</f>
        <v>0.48309256532940742</v>
      </c>
      <c r="L433" s="5">
        <f t="shared" si="419"/>
        <v>0.57479802549084968</v>
      </c>
      <c r="M433" s="5">
        <f t="shared" si="420"/>
        <v>0.67128734743469376</v>
      </c>
      <c r="N433" s="5">
        <f t="shared" si="421"/>
        <v>0.78889345948169476</v>
      </c>
      <c r="O433" s="5">
        <f t="shared" si="431"/>
        <v>6.0311432838375811E-3</v>
      </c>
      <c r="P433" s="2">
        <f t="shared" ref="P433:R433" si="469">(L433/L426)-1</f>
        <v>-2.2941256786148001E-2</v>
      </c>
      <c r="Q433" s="2">
        <f t="shared" si="469"/>
        <v>-3.8667865799609458E-2</v>
      </c>
      <c r="R433" s="2">
        <f t="shared" si="469"/>
        <v>2.0704762057440984E-2</v>
      </c>
      <c r="S433" s="3"/>
    </row>
    <row r="434" spans="3:19" x14ac:dyDescent="0.25">
      <c r="C434" s="1">
        <f t="shared" si="423"/>
        <v>43896</v>
      </c>
      <c r="D434">
        <v>64311</v>
      </c>
      <c r="E434">
        <v>37506</v>
      </c>
      <c r="F434">
        <v>25219</v>
      </c>
      <c r="G434">
        <v>19814</v>
      </c>
      <c r="H434">
        <f>'Total Traffic'!D432-'Page Sessions'!D434</f>
        <v>65769</v>
      </c>
      <c r="I434" s="2">
        <f t="shared" si="418"/>
        <v>0.30809659311781812</v>
      </c>
      <c r="J434" s="2">
        <f t="shared" si="430"/>
        <v>-2.0752449982286203E-2</v>
      </c>
      <c r="K434" s="2">
        <f>D434/'Total Traffic'!D432</f>
        <v>0.49439575645756456</v>
      </c>
      <c r="L434" s="5">
        <f t="shared" si="419"/>
        <v>0.58319727573820968</v>
      </c>
      <c r="M434" s="5">
        <f t="shared" si="420"/>
        <v>0.67239908281341654</v>
      </c>
      <c r="N434" s="5">
        <f t="shared" si="421"/>
        <v>0.78567746540306915</v>
      </c>
      <c r="O434" s="5">
        <f t="shared" si="431"/>
        <v>2.9134634118847424E-2</v>
      </c>
      <c r="P434" s="2">
        <f t="shared" ref="P434:R434" si="470">(L434/L427)-1</f>
        <v>-6.6210087352736036E-3</v>
      </c>
      <c r="Q434" s="2">
        <f t="shared" si="470"/>
        <v>-1.7508409277298687E-2</v>
      </c>
      <c r="R434" s="2">
        <f t="shared" si="470"/>
        <v>3.3412805215551344E-3</v>
      </c>
      <c r="S434" s="3"/>
    </row>
    <row r="435" spans="3:19" x14ac:dyDescent="0.25">
      <c r="C435" s="1">
        <f t="shared" si="423"/>
        <v>43897</v>
      </c>
      <c r="D435">
        <v>64235</v>
      </c>
      <c r="E435">
        <v>36890</v>
      </c>
      <c r="F435">
        <v>25461</v>
      </c>
      <c r="G435">
        <v>19969</v>
      </c>
      <c r="H435">
        <f>'Total Traffic'!D433-'Page Sessions'!D435</f>
        <v>66777</v>
      </c>
      <c r="I435" s="2">
        <f t="shared" si="418"/>
        <v>0.31087413403907527</v>
      </c>
      <c r="J435" s="2">
        <f t="shared" si="430"/>
        <v>-8.7150321926490193E-3</v>
      </c>
      <c r="K435" s="2">
        <f>D435/'Total Traffic'!D433</f>
        <v>0.49029859860165481</v>
      </c>
      <c r="L435" s="5">
        <f t="shared" si="419"/>
        <v>0.57429750136218571</v>
      </c>
      <c r="M435" s="5">
        <f t="shared" si="420"/>
        <v>0.69018704255895902</v>
      </c>
      <c r="N435" s="5">
        <f t="shared" si="421"/>
        <v>0.78429755312045879</v>
      </c>
      <c r="O435" s="5">
        <f t="shared" si="431"/>
        <v>5.3425951926693305E-3</v>
      </c>
      <c r="P435" s="2">
        <f t="shared" ref="P435:R435" si="471">(L435/L428)-1</f>
        <v>-1.8789974467206316E-2</v>
      </c>
      <c r="Q435" s="2">
        <f t="shared" si="471"/>
        <v>7.1403556134972401E-3</v>
      </c>
      <c r="R435" s="2">
        <f t="shared" si="471"/>
        <v>3.1053464991819268E-3</v>
      </c>
      <c r="S435" s="3"/>
    </row>
    <row r="436" spans="3:19" x14ac:dyDescent="0.25">
      <c r="C436" s="1">
        <f t="shared" si="423"/>
        <v>43898</v>
      </c>
      <c r="D436">
        <v>62318</v>
      </c>
      <c r="E436">
        <v>36019</v>
      </c>
      <c r="F436">
        <v>24806</v>
      </c>
      <c r="G436">
        <v>19517</v>
      </c>
      <c r="H436">
        <f>'Total Traffic'!D434-'Page Sessions'!D436</f>
        <v>68219</v>
      </c>
      <c r="I436" s="2">
        <f t="shared" si="418"/>
        <v>0.31318399178407524</v>
      </c>
      <c r="J436" s="2">
        <f t="shared" si="430"/>
        <v>-2.0200496101669629E-2</v>
      </c>
      <c r="K436" s="2">
        <f>D436/'Total Traffic'!D434</f>
        <v>0.47739721305070593</v>
      </c>
      <c r="L436" s="5">
        <f t="shared" si="419"/>
        <v>0.57798709843063001</v>
      </c>
      <c r="M436" s="5">
        <f t="shared" si="420"/>
        <v>0.68869207918043251</v>
      </c>
      <c r="N436" s="5">
        <f t="shared" si="421"/>
        <v>0.78678545513182296</v>
      </c>
      <c r="O436" s="5">
        <f t="shared" si="431"/>
        <v>5.9011806471422901E-3</v>
      </c>
      <c r="P436" s="2">
        <f t="shared" ref="P436:R436" si="472">(L436/L429)-1</f>
        <v>-7.9017493970294783E-3</v>
      </c>
      <c r="Q436" s="2">
        <f t="shared" si="472"/>
        <v>-1.7395585365104216E-3</v>
      </c>
      <c r="R436" s="2">
        <f t="shared" si="472"/>
        <v>-1.0675714834242456E-2</v>
      </c>
      <c r="S436" s="3"/>
    </row>
    <row r="437" spans="3:19" x14ac:dyDescent="0.25">
      <c r="C437" s="1">
        <f t="shared" si="423"/>
        <v>43899</v>
      </c>
      <c r="D437">
        <v>63984</v>
      </c>
      <c r="E437">
        <v>37609</v>
      </c>
      <c r="F437">
        <v>26205</v>
      </c>
      <c r="G437">
        <v>20864</v>
      </c>
      <c r="H437">
        <f>'Total Traffic'!D435-'Page Sessions'!D437</f>
        <v>66171</v>
      </c>
      <c r="I437" s="2">
        <f t="shared" si="418"/>
        <v>0.32608152038009502</v>
      </c>
      <c r="J437" s="2">
        <f t="shared" si="430"/>
        <v>1.256215426153906E-2</v>
      </c>
      <c r="K437" s="2">
        <f>D437/'Total Traffic'!D435</f>
        <v>0.49159847873689061</v>
      </c>
      <c r="L437" s="5">
        <f t="shared" si="419"/>
        <v>0.58778757189297326</v>
      </c>
      <c r="M437" s="5">
        <f t="shared" si="420"/>
        <v>0.69677470818155229</v>
      </c>
      <c r="N437" s="5">
        <f t="shared" si="421"/>
        <v>0.79618393436367108</v>
      </c>
      <c r="O437" s="5">
        <f t="shared" si="431"/>
        <v>1.8027568539980443E-2</v>
      </c>
      <c r="P437" s="2">
        <f t="shared" ref="P437:R437" si="473">(L437/L430)-1</f>
        <v>-1.0771978235877389E-2</v>
      </c>
      <c r="Q437" s="2">
        <f t="shared" si="473"/>
        <v>2.4992917565038519E-2</v>
      </c>
      <c r="R437" s="2">
        <f t="shared" si="473"/>
        <v>-1.3704418873274893E-3</v>
      </c>
      <c r="S437" s="3"/>
    </row>
    <row r="438" spans="3:19" x14ac:dyDescent="0.25">
      <c r="C438" s="1">
        <f t="shared" si="423"/>
        <v>43900</v>
      </c>
      <c r="D438">
        <v>62793</v>
      </c>
      <c r="E438">
        <v>36200</v>
      </c>
      <c r="F438">
        <v>25115</v>
      </c>
      <c r="G438">
        <v>19712</v>
      </c>
      <c r="H438">
        <f>'Total Traffic'!D436-'Page Sessions'!D438</f>
        <v>67754</v>
      </c>
      <c r="I438" s="2">
        <f t="shared" si="418"/>
        <v>0.3139203414393324</v>
      </c>
      <c r="J438" s="2">
        <f t="shared" si="430"/>
        <v>-2.888713975692081E-2</v>
      </c>
      <c r="K438" s="2">
        <f>D438/'Total Traffic'!D436</f>
        <v>0.4809991803718201</v>
      </c>
      <c r="L438" s="5">
        <f t="shared" si="419"/>
        <v>0.57649738028124153</v>
      </c>
      <c r="M438" s="5">
        <f t="shared" si="420"/>
        <v>0.69378453038674037</v>
      </c>
      <c r="N438" s="5">
        <f t="shared" si="421"/>
        <v>0.78486959984073268</v>
      </c>
      <c r="O438" s="5">
        <f t="shared" si="431"/>
        <v>-3.9296917509278328E-3</v>
      </c>
      <c r="P438" s="2">
        <f t="shared" ref="P438:R438" si="474">(L438/L431)-1</f>
        <v>-2.7969300623405746E-2</v>
      </c>
      <c r="Q438" s="2">
        <f t="shared" si="474"/>
        <v>1.5227115373053879E-2</v>
      </c>
      <c r="R438" s="2">
        <f t="shared" si="474"/>
        <v>-1.5928814596481655E-2</v>
      </c>
      <c r="S438" s="3"/>
    </row>
    <row r="439" spans="3:19" x14ac:dyDescent="0.25">
      <c r="C439" s="1">
        <f t="shared" si="423"/>
        <v>43901</v>
      </c>
      <c r="D439">
        <v>65088</v>
      </c>
      <c r="E439">
        <v>37978</v>
      </c>
      <c r="F439">
        <v>25771</v>
      </c>
      <c r="G439">
        <v>20408</v>
      </c>
      <c r="H439">
        <f>'Total Traffic'!D437-'Page Sessions'!D439</f>
        <v>65954</v>
      </c>
      <c r="I439" s="2">
        <f t="shared" si="418"/>
        <v>0.31354473942969519</v>
      </c>
      <c r="J439" s="2">
        <f t="shared" si="430"/>
        <v>-1.5560835951068053E-2</v>
      </c>
      <c r="K439" s="2">
        <f>D439/'Total Traffic'!D437</f>
        <v>0.49669571587735228</v>
      </c>
      <c r="L439" s="5">
        <f t="shared" si="419"/>
        <v>0.58348697148475914</v>
      </c>
      <c r="M439" s="5">
        <f t="shared" si="420"/>
        <v>0.67857707093580499</v>
      </c>
      <c r="N439" s="5">
        <f t="shared" si="421"/>
        <v>0.79189786969849829</v>
      </c>
      <c r="O439" s="5">
        <f t="shared" si="431"/>
        <v>9.5560166156334336E-3</v>
      </c>
      <c r="P439" s="2">
        <f t="shared" ref="P439:R439" si="475">(L439/L432)-1</f>
        <v>-2.0826353465477565E-2</v>
      </c>
      <c r="Q439" s="2">
        <f t="shared" si="475"/>
        <v>-2.0521006035092659E-2</v>
      </c>
      <c r="R439" s="2">
        <f t="shared" si="475"/>
        <v>2.6441115801048909E-2</v>
      </c>
      <c r="S439" s="3"/>
    </row>
    <row r="440" spans="3:19" x14ac:dyDescent="0.25">
      <c r="C440" s="1">
        <f t="shared" si="423"/>
        <v>43902</v>
      </c>
      <c r="D440">
        <v>64850</v>
      </c>
      <c r="E440">
        <v>37197</v>
      </c>
      <c r="F440">
        <v>25930</v>
      </c>
      <c r="G440">
        <v>20339</v>
      </c>
      <c r="H440">
        <f>'Total Traffic'!D438-'Page Sessions'!D440</f>
        <v>65503</v>
      </c>
      <c r="I440" s="2">
        <f t="shared" si="418"/>
        <v>0.3136314572089437</v>
      </c>
      <c r="J440" s="2">
        <f t="shared" si="430"/>
        <v>3.0332813564244443E-2</v>
      </c>
      <c r="K440" s="2">
        <f>D440/'Total Traffic'!D438</f>
        <v>0.49749526286314855</v>
      </c>
      <c r="L440" s="5">
        <f t="shared" si="419"/>
        <v>0.57358519660755591</v>
      </c>
      <c r="M440" s="5">
        <f t="shared" si="420"/>
        <v>0.69709922843240046</v>
      </c>
      <c r="N440" s="5">
        <f t="shared" si="421"/>
        <v>0.78438102583879676</v>
      </c>
      <c r="O440" s="5">
        <f t="shared" si="431"/>
        <v>2.9813535888138398E-2</v>
      </c>
      <c r="P440" s="2">
        <f t="shared" ref="P440:R440" si="476">(L440/L433)-1</f>
        <v>-2.1100087848389126E-3</v>
      </c>
      <c r="Q440" s="2">
        <f t="shared" si="476"/>
        <v>3.8451314621594124E-2</v>
      </c>
      <c r="R440" s="2">
        <f t="shared" si="476"/>
        <v>-5.7199531681536575E-3</v>
      </c>
      <c r="S440" s="3"/>
    </row>
    <row r="441" spans="3:19" x14ac:dyDescent="0.25">
      <c r="C441" s="1">
        <f t="shared" si="423"/>
        <v>43903</v>
      </c>
      <c r="D441">
        <v>62531</v>
      </c>
      <c r="E441">
        <v>35711</v>
      </c>
      <c r="F441">
        <v>24447</v>
      </c>
      <c r="G441">
        <v>19335</v>
      </c>
      <c r="H441">
        <f>'Total Traffic'!D439-'Page Sessions'!D441</f>
        <v>67662</v>
      </c>
      <c r="I441" s="2">
        <f t="shared" si="418"/>
        <v>0.30920663350977917</v>
      </c>
      <c r="J441" s="2">
        <f t="shared" si="430"/>
        <v>3.6028973275161746E-3</v>
      </c>
      <c r="K441" s="2">
        <f>D441/'Total Traffic'!D439</f>
        <v>0.48029463949674711</v>
      </c>
      <c r="L441" s="5">
        <f t="shared" si="419"/>
        <v>0.57109273800195104</v>
      </c>
      <c r="M441" s="5">
        <f t="shared" si="420"/>
        <v>0.68457898126627648</v>
      </c>
      <c r="N441" s="5">
        <f t="shared" si="421"/>
        <v>0.79089458829304204</v>
      </c>
      <c r="O441" s="5">
        <f t="shared" si="431"/>
        <v>-2.8521921510521242E-2</v>
      </c>
      <c r="P441" s="2">
        <f t="shared" ref="P441:R441" si="477">(L441/L434)-1</f>
        <v>-2.0755477159828506E-2</v>
      </c>
      <c r="Q441" s="2">
        <f t="shared" si="477"/>
        <v>1.8114091414130895E-2</v>
      </c>
      <c r="R441" s="2">
        <f t="shared" si="477"/>
        <v>6.640285765732612E-3</v>
      </c>
      <c r="S441" s="3"/>
    </row>
    <row r="442" spans="3:19" x14ac:dyDescent="0.25">
      <c r="C442" s="1">
        <f t="shared" si="423"/>
        <v>43904</v>
      </c>
      <c r="D442">
        <v>64343</v>
      </c>
      <c r="E442">
        <v>37190</v>
      </c>
      <c r="F442">
        <v>25542</v>
      </c>
      <c r="G442">
        <v>20259</v>
      </c>
      <c r="H442">
        <f>'Total Traffic'!D440-'Page Sessions'!D442</f>
        <v>65907</v>
      </c>
      <c r="I442" s="2">
        <f t="shared" si="418"/>
        <v>0.31485942526770588</v>
      </c>
      <c r="J442" s="2">
        <f t="shared" si="430"/>
        <v>1.2819629529324805E-2</v>
      </c>
      <c r="K442" s="2">
        <f>D442/'Total Traffic'!D440</f>
        <v>0.49399616122840689</v>
      </c>
      <c r="L442" s="5">
        <f t="shared" si="419"/>
        <v>0.57799605240663321</v>
      </c>
      <c r="M442" s="5">
        <f t="shared" si="420"/>
        <v>0.68679752621672496</v>
      </c>
      <c r="N442" s="5">
        <f t="shared" si="421"/>
        <v>0.79316420014094435</v>
      </c>
      <c r="O442" s="5">
        <f t="shared" si="431"/>
        <v>7.5414505309572277E-3</v>
      </c>
      <c r="P442" s="2">
        <f t="shared" ref="P442:R442" si="478">(L442/L435)-1</f>
        <v>6.4401308305797045E-3</v>
      </c>
      <c r="Q442" s="2">
        <f t="shared" si="478"/>
        <v>-4.9110112668400152E-3</v>
      </c>
      <c r="R442" s="2">
        <f t="shared" si="478"/>
        <v>1.1305208061925143E-2</v>
      </c>
      <c r="S442" s="3"/>
    </row>
    <row r="443" spans="3:19" x14ac:dyDescent="0.25">
      <c r="C443" s="1">
        <f t="shared" si="423"/>
        <v>43905</v>
      </c>
      <c r="D443">
        <v>64014</v>
      </c>
      <c r="E443">
        <v>37985</v>
      </c>
      <c r="F443">
        <v>25677</v>
      </c>
      <c r="G443">
        <v>20174</v>
      </c>
      <c r="H443">
        <f>'Total Traffic'!D441-'Page Sessions'!D443</f>
        <v>66177</v>
      </c>
      <c r="I443" s="2">
        <f t="shared" si="418"/>
        <v>0.31514981097884837</v>
      </c>
      <c r="J443" s="2">
        <f t="shared" si="430"/>
        <v>6.2768827473418387E-3</v>
      </c>
      <c r="K443" s="2">
        <f>D443/'Total Traffic'!D441</f>
        <v>0.49169297416872132</v>
      </c>
      <c r="L443" s="5">
        <f t="shared" si="419"/>
        <v>0.59338582185147004</v>
      </c>
      <c r="M443" s="5">
        <f t="shared" si="420"/>
        <v>0.67597735948400683</v>
      </c>
      <c r="N443" s="5">
        <f t="shared" si="421"/>
        <v>0.78568368578883829</v>
      </c>
      <c r="O443" s="5">
        <f t="shared" si="431"/>
        <v>2.9945212764568518E-2</v>
      </c>
      <c r="P443" s="2">
        <f t="shared" ref="P443:R443" si="479">(L443/L436)-1</f>
        <v>2.6641984678639208E-2</v>
      </c>
      <c r="Q443" s="2">
        <f t="shared" si="479"/>
        <v>-1.8462125644826077E-2</v>
      </c>
      <c r="R443" s="2">
        <f t="shared" si="479"/>
        <v>-1.4003427945933344E-3</v>
      </c>
      <c r="S443" s="3"/>
    </row>
    <row r="444" spans="3:19" x14ac:dyDescent="0.25">
      <c r="C444" s="1">
        <f t="shared" si="423"/>
        <v>43906</v>
      </c>
      <c r="D444">
        <v>62790</v>
      </c>
      <c r="E444">
        <v>35922</v>
      </c>
      <c r="F444">
        <v>24312</v>
      </c>
      <c r="G444">
        <v>19403</v>
      </c>
      <c r="H444">
        <f>'Total Traffic'!D442-'Page Sessions'!D444</f>
        <v>68132</v>
      </c>
      <c r="I444" s="2">
        <f t="shared" si="418"/>
        <v>0.30901417423156552</v>
      </c>
      <c r="J444" s="2">
        <f t="shared" si="430"/>
        <v>-5.2340734085866147E-2</v>
      </c>
      <c r="K444" s="2">
        <f>D444/'Total Traffic'!D442</f>
        <v>0.47959853958845727</v>
      </c>
      <c r="L444" s="5">
        <f t="shared" si="419"/>
        <v>0.57209746774964165</v>
      </c>
      <c r="M444" s="5">
        <f t="shared" si="420"/>
        <v>0.67679973275430094</v>
      </c>
      <c r="N444" s="5">
        <f t="shared" si="421"/>
        <v>0.79808325106943079</v>
      </c>
      <c r="O444" s="5">
        <f t="shared" si="431"/>
        <v>-2.4410041258194903E-2</v>
      </c>
      <c r="P444" s="2">
        <f t="shared" ref="P444:R444" si="480">(L444/L437)-1</f>
        <v>-2.6693494203699375E-2</v>
      </c>
      <c r="Q444" s="2">
        <f t="shared" si="480"/>
        <v>-2.8667767633791086E-2</v>
      </c>
      <c r="R444" s="2">
        <f t="shared" si="480"/>
        <v>2.385525032325253E-3</v>
      </c>
      <c r="S444" s="3"/>
    </row>
    <row r="445" spans="3:19" x14ac:dyDescent="0.25">
      <c r="C445" s="1">
        <f t="shared" si="423"/>
        <v>43907</v>
      </c>
      <c r="D445">
        <v>63568</v>
      </c>
      <c r="E445">
        <v>37905</v>
      </c>
      <c r="F445">
        <v>25699</v>
      </c>
      <c r="G445">
        <v>20312</v>
      </c>
      <c r="H445">
        <f>'Total Traffic'!D443-'Page Sessions'!D445</f>
        <v>67097</v>
      </c>
      <c r="I445" s="2">
        <f t="shared" si="418"/>
        <v>0.31953183991945633</v>
      </c>
      <c r="J445" s="2">
        <f t="shared" si="430"/>
        <v>1.787554911030953E-2</v>
      </c>
      <c r="K445" s="2">
        <f>D445/'Total Traffic'!D443</f>
        <v>0.48649600122450543</v>
      </c>
      <c r="L445" s="5">
        <f t="shared" si="419"/>
        <v>0.59629058645859556</v>
      </c>
      <c r="M445" s="5">
        <f t="shared" si="420"/>
        <v>0.67798443477113834</v>
      </c>
      <c r="N445" s="5">
        <f t="shared" si="421"/>
        <v>0.79038094867504571</v>
      </c>
      <c r="O445" s="5">
        <f t="shared" si="431"/>
        <v>1.1427921453912138E-2</v>
      </c>
      <c r="P445" s="2">
        <f t="shared" ref="P445:R445" si="481">(L445/L438)-1</f>
        <v>3.4333557886590871E-2</v>
      </c>
      <c r="Q445" s="2">
        <f t="shared" si="481"/>
        <v>-2.2773779067680411E-2</v>
      </c>
      <c r="R445" s="2">
        <f t="shared" si="481"/>
        <v>7.0219929978576623E-3</v>
      </c>
      <c r="S445" s="3"/>
    </row>
    <row r="446" spans="3:19" x14ac:dyDescent="0.25">
      <c r="C446" s="1">
        <f t="shared" si="423"/>
        <v>43908</v>
      </c>
      <c r="D446">
        <v>62796</v>
      </c>
      <c r="E446">
        <v>37011</v>
      </c>
      <c r="F446">
        <v>24971</v>
      </c>
      <c r="G446">
        <v>19856</v>
      </c>
      <c r="H446">
        <f>'Total Traffic'!D444-'Page Sessions'!D446</f>
        <v>67380</v>
      </c>
      <c r="I446" s="2">
        <f t="shared" si="418"/>
        <v>0.31619848397987133</v>
      </c>
      <c r="J446" s="2">
        <f t="shared" si="430"/>
        <v>8.4636870483076887E-3</v>
      </c>
      <c r="K446" s="2">
        <f>D446/'Total Traffic'!D444</f>
        <v>0.48239306784660768</v>
      </c>
      <c r="L446" s="5">
        <f t="shared" si="419"/>
        <v>0.58938467418306895</v>
      </c>
      <c r="M446" s="5">
        <f t="shared" si="420"/>
        <v>0.6746913079895166</v>
      </c>
      <c r="N446" s="5">
        <f t="shared" si="421"/>
        <v>0.79516238837050979</v>
      </c>
      <c r="O446" s="5">
        <f t="shared" si="431"/>
        <v>-2.8795593707670153E-2</v>
      </c>
      <c r="P446" s="2">
        <f t="shared" ref="P446:R446" si="482">(L446/L439)-1</f>
        <v>1.0107685323808235E-2</v>
      </c>
      <c r="Q446" s="2">
        <f t="shared" si="482"/>
        <v>-5.7263398849148883E-3</v>
      </c>
      <c r="R446" s="2">
        <f t="shared" si="482"/>
        <v>4.1223986033127602E-3</v>
      </c>
      <c r="S446" s="3"/>
    </row>
    <row r="447" spans="3:19" x14ac:dyDescent="0.25">
      <c r="C447" s="1">
        <f t="shared" si="423"/>
        <v>43909</v>
      </c>
      <c r="D447">
        <v>61634</v>
      </c>
      <c r="E447">
        <v>35476</v>
      </c>
      <c r="F447">
        <v>23992</v>
      </c>
      <c r="G447">
        <v>18766</v>
      </c>
      <c r="H447">
        <f>'Total Traffic'!D445-'Page Sessions'!D447</f>
        <v>69419</v>
      </c>
      <c r="I447" s="2">
        <f t="shared" si="418"/>
        <v>0.30447480286854656</v>
      </c>
      <c r="J447" s="2">
        <f t="shared" si="430"/>
        <v>-2.9195586507436699E-2</v>
      </c>
      <c r="K447" s="2">
        <f>D447/'Total Traffic'!D445</f>
        <v>0.47029827626990606</v>
      </c>
      <c r="L447" s="5">
        <f t="shared" si="419"/>
        <v>0.57559139436025575</v>
      </c>
      <c r="M447" s="5">
        <f t="shared" si="420"/>
        <v>0.67628819483594538</v>
      </c>
      <c r="N447" s="5">
        <f t="shared" si="421"/>
        <v>0.78217739246415474</v>
      </c>
      <c r="O447" s="5">
        <f t="shared" si="431"/>
        <v>-5.4667830275850982E-2</v>
      </c>
      <c r="P447" s="2">
        <f t="shared" ref="P447:R447" si="483">(L447/L440)-1</f>
        <v>3.4976456236412989E-3</v>
      </c>
      <c r="Q447" s="2">
        <f t="shared" si="483"/>
        <v>-2.9853760766962556E-2</v>
      </c>
      <c r="R447" s="2">
        <f t="shared" si="483"/>
        <v>-2.8093914845600532E-3</v>
      </c>
      <c r="S447" s="3"/>
    </row>
    <row r="448" spans="3:19" x14ac:dyDescent="0.25">
      <c r="C448" s="1">
        <f t="shared" si="423"/>
        <v>43910</v>
      </c>
      <c r="D448">
        <v>64648</v>
      </c>
      <c r="E448">
        <v>37760</v>
      </c>
      <c r="F448">
        <v>25748</v>
      </c>
      <c r="G448">
        <v>20361</v>
      </c>
      <c r="H448">
        <f>'Total Traffic'!D446-'Page Sessions'!D448</f>
        <v>66379</v>
      </c>
      <c r="I448" s="2">
        <f t="shared" si="418"/>
        <v>0.31495173864620718</v>
      </c>
      <c r="J448" s="2">
        <f t="shared" si="430"/>
        <v>1.8580148398550822E-2</v>
      </c>
      <c r="K448" s="2">
        <f>D448/'Total Traffic'!D446</f>
        <v>0.49339449121173501</v>
      </c>
      <c r="L448" s="5">
        <f t="shared" si="419"/>
        <v>0.58408612795446113</v>
      </c>
      <c r="M448" s="5">
        <f t="shared" si="420"/>
        <v>0.68188559322033904</v>
      </c>
      <c r="N448" s="5">
        <f t="shared" si="421"/>
        <v>0.79077986639739006</v>
      </c>
      <c r="O448" s="5">
        <f t="shared" si="431"/>
        <v>2.7274615699883542E-2</v>
      </c>
      <c r="P448" s="2">
        <f t="shared" ref="P448:R448" si="484">(L448/L441)-1</f>
        <v>2.2751803845325158E-2</v>
      </c>
      <c r="Q448" s="2">
        <f t="shared" si="484"/>
        <v>-3.9343715183242089E-3</v>
      </c>
      <c r="R448" s="2">
        <f t="shared" si="484"/>
        <v>-1.4505333245429242E-4</v>
      </c>
      <c r="S448" s="3"/>
    </row>
    <row r="449" spans="3:19" x14ac:dyDescent="0.25">
      <c r="C449" s="1">
        <f t="shared" si="423"/>
        <v>43911</v>
      </c>
      <c r="D449">
        <v>61795</v>
      </c>
      <c r="E449">
        <v>35402</v>
      </c>
      <c r="F449">
        <v>24200</v>
      </c>
      <c r="G449">
        <v>19127</v>
      </c>
      <c r="H449">
        <f>'Total Traffic'!D447-'Page Sessions'!D449</f>
        <v>68712</v>
      </c>
      <c r="I449" s="2">
        <f t="shared" si="418"/>
        <v>0.30952342422526097</v>
      </c>
      <c r="J449" s="2">
        <f t="shared" si="430"/>
        <v>-1.6947248880696653E-2</v>
      </c>
      <c r="K449" s="2">
        <f>D449/'Total Traffic'!D447</f>
        <v>0.47349950577363664</v>
      </c>
      <c r="L449" s="5">
        <f t="shared" si="419"/>
        <v>0.57289424710737114</v>
      </c>
      <c r="M449" s="5">
        <f t="shared" si="420"/>
        <v>0.68357719902830349</v>
      </c>
      <c r="N449" s="5">
        <f t="shared" si="421"/>
        <v>0.79037190082644626</v>
      </c>
      <c r="O449" s="5">
        <f t="shared" si="431"/>
        <v>-4.1491527796090111E-2</v>
      </c>
      <c r="P449" s="2">
        <f t="shared" ref="P449:R449" si="485">(L449/L442)-1</f>
        <v>-8.8267130511002767E-3</v>
      </c>
      <c r="Q449" s="2">
        <f t="shared" si="485"/>
        <v>-4.6889033019104076E-3</v>
      </c>
      <c r="R449" s="2">
        <f t="shared" si="485"/>
        <v>-3.5204555551068273E-3</v>
      </c>
      <c r="S449" s="3"/>
    </row>
    <row r="450" spans="3:19" x14ac:dyDescent="0.25">
      <c r="C450" s="1">
        <f t="shared" si="423"/>
        <v>43912</v>
      </c>
      <c r="D450">
        <v>22297</v>
      </c>
      <c r="E450">
        <v>13367</v>
      </c>
      <c r="F450">
        <v>9077</v>
      </c>
      <c r="G450">
        <v>7164</v>
      </c>
      <c r="H450">
        <f>'Total Traffic'!D448-'Page Sessions'!D450</f>
        <v>108704</v>
      </c>
      <c r="I450" s="2">
        <f t="shared" si="418"/>
        <v>0.32129882943893795</v>
      </c>
      <c r="J450" s="2">
        <f t="shared" si="430"/>
        <v>1.9511414082689305E-2</v>
      </c>
      <c r="K450" s="2">
        <f>D450/'Total Traffic'!D448</f>
        <v>0.17020480759688858</v>
      </c>
      <c r="L450" s="5">
        <f t="shared" si="419"/>
        <v>0.59949769027223399</v>
      </c>
      <c r="M450" s="5">
        <f t="shared" si="420"/>
        <v>0.67906037255928775</v>
      </c>
      <c r="N450" s="5">
        <f t="shared" si="421"/>
        <v>0.78924754874958691</v>
      </c>
      <c r="O450" s="5">
        <f t="shared" si="431"/>
        <v>-0.65383925225971629</v>
      </c>
      <c r="P450" s="2">
        <f t="shared" ref="P450:R450" si="486">(L450/L443)-1</f>
        <v>1.0299990656490232E-2</v>
      </c>
      <c r="Q450" s="2">
        <f t="shared" si="486"/>
        <v>4.5608229802760469E-3</v>
      </c>
      <c r="R450" s="2">
        <f t="shared" si="486"/>
        <v>4.5360022426461644E-3</v>
      </c>
      <c r="S450" s="3"/>
    </row>
    <row r="451" spans="3:19" x14ac:dyDescent="0.25">
      <c r="C451" s="1">
        <f t="shared" si="423"/>
        <v>43913</v>
      </c>
      <c r="D451">
        <v>64078</v>
      </c>
      <c r="E451">
        <v>36735</v>
      </c>
      <c r="F451">
        <v>25600</v>
      </c>
      <c r="G451">
        <v>19960</v>
      </c>
      <c r="H451">
        <f>'Total Traffic'!D449-'Page Sessions'!D451</f>
        <v>66349</v>
      </c>
      <c r="I451" s="2">
        <f t="shared" si="418"/>
        <v>0.31149536502387715</v>
      </c>
      <c r="J451" s="2">
        <f t="shared" si="430"/>
        <v>8.0293753465570106E-3</v>
      </c>
      <c r="K451" s="2">
        <f>D451/'Total Traffic'!D449</f>
        <v>0.49129398054083895</v>
      </c>
      <c r="L451" s="5">
        <f t="shared" si="419"/>
        <v>0.57328568307375383</v>
      </c>
      <c r="M451" s="5">
        <f t="shared" si="420"/>
        <v>0.6968830815298761</v>
      </c>
      <c r="N451" s="5">
        <f t="shared" si="421"/>
        <v>0.77968749999999998</v>
      </c>
      <c r="O451" s="5">
        <f t="shared" si="431"/>
        <v>2.4385897760275776E-2</v>
      </c>
      <c r="P451" s="2">
        <f t="shared" ref="P451:R451" si="487">(L451/L444)-1</f>
        <v>2.0769456099605232E-3</v>
      </c>
      <c r="Q451" s="2">
        <f t="shared" si="487"/>
        <v>2.9673990404582629E-2</v>
      </c>
      <c r="R451" s="2">
        <f t="shared" si="487"/>
        <v>-2.3049914961604023E-2</v>
      </c>
      <c r="S451" s="3"/>
    </row>
    <row r="452" spans="3:19" x14ac:dyDescent="0.25">
      <c r="C452" s="1">
        <f t="shared" si="423"/>
        <v>43914</v>
      </c>
      <c r="D452">
        <v>63356</v>
      </c>
      <c r="E452">
        <v>36505</v>
      </c>
      <c r="F452">
        <v>24856</v>
      </c>
      <c r="G452">
        <v>19213</v>
      </c>
      <c r="H452">
        <f>'Total Traffic'!D450-'Page Sessions'!D452</f>
        <v>67410</v>
      </c>
      <c r="I452" s="2">
        <f t="shared" si="418"/>
        <v>0.30325462466064779</v>
      </c>
      <c r="J452" s="2">
        <f t="shared" si="430"/>
        <v>-5.0940824122289396E-2</v>
      </c>
      <c r="K452" s="2">
        <f>D452/'Total Traffic'!D450</f>
        <v>0.48449902879953505</v>
      </c>
      <c r="L452" s="5">
        <f t="shared" si="419"/>
        <v>0.57618852200265169</v>
      </c>
      <c r="M452" s="5">
        <f t="shared" si="420"/>
        <v>0.68089302835228049</v>
      </c>
      <c r="N452" s="5">
        <f t="shared" si="421"/>
        <v>0.77297232056646281</v>
      </c>
      <c r="O452" s="5">
        <f t="shared" si="431"/>
        <v>-4.1048074803163859E-3</v>
      </c>
      <c r="P452" s="2">
        <f t="shared" ref="P452:R452" si="488">(L452/L445)-1</f>
        <v>-3.3711859473300132E-2</v>
      </c>
      <c r="Q452" s="2">
        <f t="shared" si="488"/>
        <v>4.2900595234520722E-3</v>
      </c>
      <c r="R452" s="2">
        <f t="shared" si="488"/>
        <v>-2.2025617061957048E-2</v>
      </c>
      <c r="S452" s="3"/>
    </row>
    <row r="453" spans="3:19" x14ac:dyDescent="0.25">
      <c r="C453" s="1">
        <f t="shared" si="423"/>
        <v>43915</v>
      </c>
      <c r="D453">
        <v>64966</v>
      </c>
      <c r="E453">
        <v>37673</v>
      </c>
      <c r="F453">
        <v>26092</v>
      </c>
      <c r="G453">
        <v>20422</v>
      </c>
      <c r="H453">
        <f>'Total Traffic'!D451-'Page Sessions'!D453</f>
        <v>65726</v>
      </c>
      <c r="I453" s="2">
        <f t="shared" ref="I453:I516" si="489">G453/D453</f>
        <v>0.31434904411538345</v>
      </c>
      <c r="J453" s="2">
        <f t="shared" si="430"/>
        <v>-5.8489839711109992E-3</v>
      </c>
      <c r="K453" s="2">
        <f>D453/'Total Traffic'!D451</f>
        <v>0.49709240045297343</v>
      </c>
      <c r="L453" s="5">
        <f t="shared" ref="L453:L516" si="490">E453/D453</f>
        <v>0.57988794138472433</v>
      </c>
      <c r="M453" s="5">
        <f t="shared" ref="M453:M516" si="491">F453/E453</f>
        <v>0.69259151116184003</v>
      </c>
      <c r="N453" s="5">
        <f t="shared" ref="N453:N516" si="492">G453/F453</f>
        <v>0.78269201287751033</v>
      </c>
      <c r="O453" s="5">
        <f t="shared" si="431"/>
        <v>3.0471691212278884E-2</v>
      </c>
      <c r="P453" s="2">
        <f t="shared" ref="P453:R453" si="493">(L453/L446)-1</f>
        <v>-1.6112961897945199E-2</v>
      </c>
      <c r="Q453" s="2">
        <f t="shared" si="493"/>
        <v>2.6530952689554299E-2</v>
      </c>
      <c r="R453" s="2">
        <f t="shared" si="493"/>
        <v>-1.5682803507035104E-2</v>
      </c>
      <c r="S453" s="3"/>
    </row>
    <row r="454" spans="3:19" x14ac:dyDescent="0.25">
      <c r="C454" s="1">
        <f t="shared" ref="C454:C517" si="494">C453+1</f>
        <v>43916</v>
      </c>
      <c r="D454">
        <v>64302</v>
      </c>
      <c r="E454">
        <v>38362</v>
      </c>
      <c r="F454">
        <v>25744</v>
      </c>
      <c r="G454">
        <v>20265</v>
      </c>
      <c r="H454">
        <f>'Total Traffic'!D452-'Page Sessions'!D454</f>
        <v>65787</v>
      </c>
      <c r="I454" s="2">
        <f t="shared" si="489"/>
        <v>0.31515349444807317</v>
      </c>
      <c r="J454" s="2">
        <f t="shared" si="430"/>
        <v>3.5072496899314798E-2</v>
      </c>
      <c r="K454" s="2">
        <f>D454/'Total Traffic'!D452</f>
        <v>0.49429236907040563</v>
      </c>
      <c r="L454" s="5">
        <f t="shared" si="490"/>
        <v>0.59659108581381604</v>
      </c>
      <c r="M454" s="5">
        <f t="shared" si="491"/>
        <v>0.67108075699911374</v>
      </c>
      <c r="N454" s="5">
        <f t="shared" si="492"/>
        <v>0.78717371037911743</v>
      </c>
      <c r="O454" s="5">
        <f t="shared" si="431"/>
        <v>5.1018883145404592E-2</v>
      </c>
      <c r="P454" s="2">
        <f t="shared" ref="P454:R454" si="495">(L454/L447)-1</f>
        <v>3.6483678629178451E-2</v>
      </c>
      <c r="Q454" s="2">
        <f t="shared" si="495"/>
        <v>-7.700027705044965E-3</v>
      </c>
      <c r="R454" s="2">
        <f t="shared" si="495"/>
        <v>6.3877043278155465E-3</v>
      </c>
      <c r="S454" s="3"/>
    </row>
    <row r="455" spans="3:19" x14ac:dyDescent="0.25">
      <c r="C455" s="1">
        <f t="shared" si="494"/>
        <v>43917</v>
      </c>
      <c r="D455">
        <v>63848</v>
      </c>
      <c r="E455">
        <v>38257</v>
      </c>
      <c r="F455">
        <v>26611</v>
      </c>
      <c r="G455">
        <v>21203</v>
      </c>
      <c r="H455">
        <f>'Total Traffic'!D453-'Page Sessions'!D455</f>
        <v>66642</v>
      </c>
      <c r="I455" s="2">
        <f t="shared" si="489"/>
        <v>0.33208557824833979</v>
      </c>
      <c r="J455" s="2">
        <f t="shared" si="430"/>
        <v>5.4401476479478905E-2</v>
      </c>
      <c r="K455" s="2">
        <f>D455/'Total Traffic'!D453</f>
        <v>0.48929419878917924</v>
      </c>
      <c r="L455" s="5">
        <f t="shared" si="490"/>
        <v>0.59918869815812559</v>
      </c>
      <c r="M455" s="5">
        <f t="shared" si="491"/>
        <v>0.69558512167707875</v>
      </c>
      <c r="N455" s="5">
        <f t="shared" si="492"/>
        <v>0.79677576941866146</v>
      </c>
      <c r="O455" s="5">
        <f t="shared" si="431"/>
        <v>-8.3103733332851037E-3</v>
      </c>
      <c r="P455" s="2">
        <f t="shared" ref="P455:R455" si="496">(L455/L448)-1</f>
        <v>2.5856752079621348E-2</v>
      </c>
      <c r="Q455" s="2">
        <f t="shared" si="496"/>
        <v>2.009065537231991E-2</v>
      </c>
      <c r="R455" s="2">
        <f t="shared" si="496"/>
        <v>7.5822656545208034E-3</v>
      </c>
      <c r="S455" s="3"/>
    </row>
    <row r="456" spans="3:19" x14ac:dyDescent="0.25">
      <c r="C456" s="1">
        <f t="shared" si="494"/>
        <v>43918</v>
      </c>
      <c r="D456">
        <v>62322</v>
      </c>
      <c r="E456">
        <v>36414</v>
      </c>
      <c r="F456">
        <v>25147</v>
      </c>
      <c r="G456">
        <v>19732</v>
      </c>
      <c r="H456">
        <f>'Total Traffic'!D454-'Page Sessions'!D456</f>
        <v>68168</v>
      </c>
      <c r="I456" s="2">
        <f t="shared" si="489"/>
        <v>0.3166137158627772</v>
      </c>
      <c r="J456" s="2">
        <f t="shared" si="430"/>
        <v>2.2907124574701454E-2</v>
      </c>
      <c r="K456" s="2">
        <f>D456/'Total Traffic'!D454</f>
        <v>0.4775998160778604</v>
      </c>
      <c r="L456" s="5">
        <f t="shared" si="490"/>
        <v>0.58428805237315873</v>
      </c>
      <c r="M456" s="5">
        <f t="shared" si="491"/>
        <v>0.69058603833690335</v>
      </c>
      <c r="N456" s="5">
        <f t="shared" si="492"/>
        <v>0.78466616296178471</v>
      </c>
      <c r="O456" s="5">
        <f t="shared" si="431"/>
        <v>8.6595872946571006E-3</v>
      </c>
      <c r="P456" s="2">
        <f t="shared" ref="P456:R456" si="497">(L456/L449)-1</f>
        <v>1.9888147460576988E-2</v>
      </c>
      <c r="Q456" s="2">
        <f t="shared" si="497"/>
        <v>1.0253178892688064E-2</v>
      </c>
      <c r="R456" s="2">
        <f t="shared" si="497"/>
        <v>-7.219054547226933E-3</v>
      </c>
      <c r="S456" s="3"/>
    </row>
    <row r="457" spans="3:19" x14ac:dyDescent="0.25">
      <c r="C457" s="1">
        <f t="shared" si="494"/>
        <v>43919</v>
      </c>
      <c r="D457">
        <v>61848</v>
      </c>
      <c r="E457">
        <v>36273</v>
      </c>
      <c r="F457">
        <v>24331</v>
      </c>
      <c r="G457">
        <v>19455</v>
      </c>
      <c r="H457">
        <f>'Total Traffic'!D455-'Page Sessions'!D457</f>
        <v>69188</v>
      </c>
      <c r="I457" s="2">
        <f t="shared" si="489"/>
        <v>0.31456150562669771</v>
      </c>
      <c r="J457" s="2">
        <f t="shared" si="430"/>
        <v>-2.0969026946052516E-2</v>
      </c>
      <c r="K457" s="2">
        <f>D457/'Total Traffic'!D455</f>
        <v>0.47199242956134191</v>
      </c>
      <c r="L457" s="5">
        <f t="shared" si="490"/>
        <v>0.58648622429181219</v>
      </c>
      <c r="M457" s="5">
        <f t="shared" si="491"/>
        <v>0.67077440520497345</v>
      </c>
      <c r="N457" s="5">
        <f t="shared" si="492"/>
        <v>0.79959722165139124</v>
      </c>
      <c r="O457" s="5">
        <f t="shared" si="431"/>
        <v>1.7730851802917589</v>
      </c>
      <c r="P457" s="2">
        <f t="shared" ref="P457:R457" si="498">(L457/L450)-1</f>
        <v>-2.170394680672294E-2</v>
      </c>
      <c r="Q457" s="2">
        <f t="shared" si="498"/>
        <v>-1.2202107042538213E-2</v>
      </c>
      <c r="R457" s="2">
        <f t="shared" si="498"/>
        <v>1.3113341838313586E-2</v>
      </c>
      <c r="S457" s="3"/>
    </row>
    <row r="458" spans="3:19" x14ac:dyDescent="0.25">
      <c r="C458" s="1">
        <f t="shared" si="494"/>
        <v>43920</v>
      </c>
      <c r="D458">
        <v>61876</v>
      </c>
      <c r="E458">
        <v>36995</v>
      </c>
      <c r="F458">
        <v>24879</v>
      </c>
      <c r="G458">
        <v>19271</v>
      </c>
      <c r="H458">
        <f>'Total Traffic'!D456-'Page Sessions'!D458</f>
        <v>68831</v>
      </c>
      <c r="I458" s="2">
        <f t="shared" si="489"/>
        <v>0.31144547158833796</v>
      </c>
      <c r="J458" s="2">
        <f t="shared" si="430"/>
        <v>-1.6017392597589275E-4</v>
      </c>
      <c r="K458" s="2">
        <f>D458/'Total Traffic'!D456</f>
        <v>0.47339469194457834</v>
      </c>
      <c r="L458" s="5">
        <f t="shared" si="490"/>
        <v>0.59788932704117914</v>
      </c>
      <c r="M458" s="5">
        <f t="shared" si="491"/>
        <v>0.67249628328152455</v>
      </c>
      <c r="N458" s="5">
        <f t="shared" si="492"/>
        <v>0.77458901081233167</v>
      </c>
      <c r="O458" s="5">
        <f t="shared" si="431"/>
        <v>-3.6432949120516867E-2</v>
      </c>
      <c r="P458" s="2">
        <f t="shared" ref="P458:R458" si="499">(L458/L451)-1</f>
        <v>4.2916899364221495E-2</v>
      </c>
      <c r="Q458" s="2">
        <f t="shared" si="499"/>
        <v>-3.4994102877077937E-2</v>
      </c>
      <c r="R458" s="2">
        <f t="shared" si="499"/>
        <v>-6.5391444491136319E-3</v>
      </c>
      <c r="S458" s="3"/>
    </row>
    <row r="459" spans="3:19" x14ac:dyDescent="0.25">
      <c r="C459" s="1">
        <f t="shared" si="494"/>
        <v>43921</v>
      </c>
      <c r="D459">
        <v>62727</v>
      </c>
      <c r="E459">
        <v>36055</v>
      </c>
      <c r="F459">
        <v>25130</v>
      </c>
      <c r="G459">
        <v>19357</v>
      </c>
      <c r="H459">
        <f>'Total Traffic'!D457-'Page Sessions'!D459</f>
        <v>67413</v>
      </c>
      <c r="I459" s="2">
        <f t="shared" si="489"/>
        <v>0.30859119677331931</v>
      </c>
      <c r="J459" s="2">
        <f t="shared" si="430"/>
        <v>1.7597661102920714E-2</v>
      </c>
      <c r="K459" s="2">
        <f>D459/'Total Traffic'!D457</f>
        <v>0.48199631166436147</v>
      </c>
      <c r="L459" s="5">
        <f t="shared" si="490"/>
        <v>0.57479235416965579</v>
      </c>
      <c r="M459" s="5">
        <f t="shared" si="491"/>
        <v>0.69699070863957846</v>
      </c>
      <c r="N459" s="5">
        <f t="shared" si="492"/>
        <v>0.77027457222443296</v>
      </c>
      <c r="O459" s="5">
        <f t="shared" si="431"/>
        <v>-5.1655771970785525E-3</v>
      </c>
      <c r="P459" s="2">
        <f t="shared" ref="P459:R459" si="500">(L459/L452)-1</f>
        <v>-2.4231094158960742E-3</v>
      </c>
      <c r="Q459" s="2">
        <f t="shared" si="500"/>
        <v>2.3642010737359609E-2</v>
      </c>
      <c r="R459" s="2">
        <f t="shared" si="500"/>
        <v>-3.4900969546397542E-3</v>
      </c>
      <c r="S459" s="3"/>
    </row>
    <row r="460" spans="3:19" x14ac:dyDescent="0.25">
      <c r="C460" s="1">
        <f t="shared" si="494"/>
        <v>43922</v>
      </c>
      <c r="D460">
        <v>65279</v>
      </c>
      <c r="E460">
        <v>38299</v>
      </c>
      <c r="F460">
        <v>26433</v>
      </c>
      <c r="G460">
        <v>20408</v>
      </c>
      <c r="H460">
        <f>'Total Traffic'!D458-'Page Sessions'!D460</f>
        <v>65385</v>
      </c>
      <c r="I460" s="2">
        <f t="shared" si="489"/>
        <v>0.3126273380413303</v>
      </c>
      <c r="J460" s="2">
        <f t="shared" ref="J460:J523" si="501">(I460/I453)-1</f>
        <v>-5.4770520422552371E-3</v>
      </c>
      <c r="K460" s="2">
        <f>D460/'Total Traffic'!D458</f>
        <v>0.4995943794771322</v>
      </c>
      <c r="L460" s="5">
        <f t="shared" si="490"/>
        <v>0.58669710013940168</v>
      </c>
      <c r="M460" s="5">
        <f t="shared" si="491"/>
        <v>0.69017467819003109</v>
      </c>
      <c r="N460" s="5">
        <f t="shared" si="492"/>
        <v>0.77206522150342372</v>
      </c>
      <c r="O460" s="5">
        <f t="shared" ref="O460:O523" si="502">(K460/K453)-1</f>
        <v>5.0332272669606493E-3</v>
      </c>
      <c r="P460" s="2">
        <f t="shared" ref="P460:R460" si="503">(L460/L453)-1</f>
        <v>1.1742197532884857E-2</v>
      </c>
      <c r="Q460" s="2">
        <f t="shared" si="503"/>
        <v>-3.4895503812263362E-3</v>
      </c>
      <c r="R460" s="2">
        <f t="shared" si="503"/>
        <v>-1.3577232422518293E-2</v>
      </c>
      <c r="S460" s="3"/>
    </row>
    <row r="461" spans="3:19" x14ac:dyDescent="0.25">
      <c r="C461" s="1">
        <f t="shared" si="494"/>
        <v>43923</v>
      </c>
      <c r="D461">
        <v>65027</v>
      </c>
      <c r="E461">
        <v>37579</v>
      </c>
      <c r="F461">
        <v>25527</v>
      </c>
      <c r="G461">
        <v>19936</v>
      </c>
      <c r="H461">
        <f>'Total Traffic'!D459-'Page Sessions'!D461</f>
        <v>65368</v>
      </c>
      <c r="I461" s="2">
        <f t="shared" si="489"/>
        <v>0.30658034354960245</v>
      </c>
      <c r="J461" s="2">
        <f t="shared" si="501"/>
        <v>-2.7203096426028361E-2</v>
      </c>
      <c r="K461" s="2">
        <f>D461/'Total Traffic'!D459</f>
        <v>0.4986924345258637</v>
      </c>
      <c r="L461" s="5">
        <f t="shared" si="490"/>
        <v>0.5778984114290987</v>
      </c>
      <c r="M461" s="5">
        <f t="shared" si="491"/>
        <v>0.67928896458128207</v>
      </c>
      <c r="N461" s="5">
        <f t="shared" si="492"/>
        <v>0.78097700474007914</v>
      </c>
      <c r="O461" s="5">
        <f t="shared" si="502"/>
        <v>8.9017466802756573E-3</v>
      </c>
      <c r="P461" s="2">
        <f t="shared" ref="P461:R461" si="504">(L461/L454)-1</f>
        <v>-3.1332473496848312E-2</v>
      </c>
      <c r="Q461" s="2">
        <f t="shared" si="504"/>
        <v>1.2231326105777818E-2</v>
      </c>
      <c r="R461" s="2">
        <f t="shared" si="504"/>
        <v>-7.8720942497607638E-3</v>
      </c>
      <c r="S461" s="3"/>
    </row>
    <row r="462" spans="3:19" x14ac:dyDescent="0.25">
      <c r="C462" s="1">
        <f t="shared" si="494"/>
        <v>43924</v>
      </c>
      <c r="D462">
        <v>64042</v>
      </c>
      <c r="E462">
        <v>37637</v>
      </c>
      <c r="F462">
        <v>25585</v>
      </c>
      <c r="G462">
        <v>20427</v>
      </c>
      <c r="H462">
        <f>'Total Traffic'!D460-'Page Sessions'!D462</f>
        <v>66524</v>
      </c>
      <c r="I462" s="2">
        <f t="shared" si="489"/>
        <v>0.3189625558227413</v>
      </c>
      <c r="J462" s="2">
        <f t="shared" si="501"/>
        <v>-3.951698985188945E-2</v>
      </c>
      <c r="K462" s="2">
        <f>D462/'Total Traffic'!D460</f>
        <v>0.49049522846682903</v>
      </c>
      <c r="L462" s="5">
        <f t="shared" si="490"/>
        <v>0.58769245182848751</v>
      </c>
      <c r="M462" s="5">
        <f t="shared" si="491"/>
        <v>0.67978319207163163</v>
      </c>
      <c r="N462" s="5">
        <f t="shared" si="492"/>
        <v>0.79839749853429742</v>
      </c>
      <c r="O462" s="5">
        <f t="shared" si="502"/>
        <v>2.4546166306935735E-3</v>
      </c>
      <c r="P462" s="2">
        <f t="shared" ref="P462:R462" si="505">(L462/L455)-1</f>
        <v>-1.9186353756299068E-2</v>
      </c>
      <c r="Q462" s="2">
        <f t="shared" si="505"/>
        <v>-2.2717463489368761E-2</v>
      </c>
      <c r="R462" s="2">
        <f t="shared" si="505"/>
        <v>2.0353645001267573E-3</v>
      </c>
      <c r="S462" s="3"/>
    </row>
    <row r="463" spans="3:19" x14ac:dyDescent="0.25">
      <c r="C463" s="1">
        <f t="shared" si="494"/>
        <v>43925</v>
      </c>
      <c r="D463">
        <v>63725</v>
      </c>
      <c r="E463">
        <v>36922</v>
      </c>
      <c r="F463">
        <v>25143</v>
      </c>
      <c r="G463">
        <v>19905</v>
      </c>
      <c r="H463">
        <f>'Total Traffic'!D461-'Page Sessions'!D463</f>
        <v>66487</v>
      </c>
      <c r="I463" s="2">
        <f t="shared" si="489"/>
        <v>0.31235778736759512</v>
      </c>
      <c r="J463" s="2">
        <f t="shared" si="501"/>
        <v>-1.3442021876988508E-2</v>
      </c>
      <c r="K463" s="2">
        <f>D463/'Total Traffic'!D461</f>
        <v>0.48939421865880256</v>
      </c>
      <c r="L463" s="5">
        <f t="shared" si="490"/>
        <v>0.57939584150647316</v>
      </c>
      <c r="M463" s="5">
        <f t="shared" si="491"/>
        <v>0.6809761118032609</v>
      </c>
      <c r="N463" s="5">
        <f t="shared" si="492"/>
        <v>0.79167163822932829</v>
      </c>
      <c r="O463" s="5">
        <f t="shared" si="502"/>
        <v>2.4695157292563552E-2</v>
      </c>
      <c r="P463" s="2">
        <f t="shared" ref="P463:R463" si="506">(L463/L456)-1</f>
        <v>-8.3729435281368891E-3</v>
      </c>
      <c r="Q463" s="2">
        <f t="shared" si="506"/>
        <v>-1.391561080033632E-2</v>
      </c>
      <c r="R463" s="2">
        <f t="shared" si="506"/>
        <v>8.9279691137704731E-3</v>
      </c>
      <c r="S463" s="3"/>
    </row>
    <row r="464" spans="3:19" x14ac:dyDescent="0.25">
      <c r="C464" s="1">
        <f t="shared" si="494"/>
        <v>43926</v>
      </c>
      <c r="D464">
        <v>64979</v>
      </c>
      <c r="E464">
        <v>37908</v>
      </c>
      <c r="F464">
        <v>26118</v>
      </c>
      <c r="G464">
        <v>20400</v>
      </c>
      <c r="H464">
        <f>'Total Traffic'!D462-'Page Sessions'!D464</f>
        <v>66001</v>
      </c>
      <c r="I464" s="2">
        <f t="shared" si="489"/>
        <v>0.31394758306529802</v>
      </c>
      <c r="J464" s="2">
        <f t="shared" si="501"/>
        <v>-1.9516773362862061E-3</v>
      </c>
      <c r="K464" s="2">
        <f>D464/'Total Traffic'!D462</f>
        <v>0.49609864101389523</v>
      </c>
      <c r="L464" s="5">
        <f t="shared" si="490"/>
        <v>0.58338847935486848</v>
      </c>
      <c r="M464" s="5">
        <f t="shared" si="491"/>
        <v>0.68898385565052234</v>
      </c>
      <c r="N464" s="5">
        <f t="shared" si="492"/>
        <v>0.78107052607397198</v>
      </c>
      <c r="O464" s="5">
        <f t="shared" si="502"/>
        <v>5.1073301058995879E-2</v>
      </c>
      <c r="P464" s="2">
        <f t="shared" ref="P464:R464" si="507">(L464/L457)-1</f>
        <v>-5.2818716086371342E-3</v>
      </c>
      <c r="Q464" s="2">
        <f t="shared" si="507"/>
        <v>2.7146907073749338E-2</v>
      </c>
      <c r="R464" s="2">
        <f t="shared" si="507"/>
        <v>-2.3170034957295749E-2</v>
      </c>
      <c r="S464" s="3"/>
    </row>
    <row r="465" spans="3:19" x14ac:dyDescent="0.25">
      <c r="C465" s="1">
        <f t="shared" si="494"/>
        <v>43927</v>
      </c>
      <c r="D465">
        <v>63703</v>
      </c>
      <c r="E465">
        <v>38132</v>
      </c>
      <c r="F465">
        <v>25720</v>
      </c>
      <c r="G465">
        <v>20388</v>
      </c>
      <c r="H465">
        <f>'Total Traffic'!D463-'Page Sessions'!D465</f>
        <v>66731</v>
      </c>
      <c r="I465" s="2">
        <f t="shared" si="489"/>
        <v>0.32004772145738819</v>
      </c>
      <c r="J465" s="2">
        <f t="shared" si="501"/>
        <v>2.762040438468949E-2</v>
      </c>
      <c r="K465" s="2">
        <f>D465/'Total Traffic'!D463</f>
        <v>0.4883925970222488</v>
      </c>
      <c r="L465" s="5">
        <f t="shared" si="490"/>
        <v>0.5985903332653093</v>
      </c>
      <c r="M465" s="5">
        <f t="shared" si="491"/>
        <v>0.67449910836043214</v>
      </c>
      <c r="N465" s="5">
        <f t="shared" si="492"/>
        <v>0.79269051321928463</v>
      </c>
      <c r="O465" s="5">
        <f t="shared" si="502"/>
        <v>3.1681608038448994E-2</v>
      </c>
      <c r="P465" s="2">
        <f t="shared" ref="P465:R465" si="508">(L465/L458)-1</f>
        <v>1.1724682017644206E-3</v>
      </c>
      <c r="Q465" s="2">
        <f t="shared" si="508"/>
        <v>2.9781950156431147E-3</v>
      </c>
      <c r="R465" s="2">
        <f t="shared" si="508"/>
        <v>2.3369170171894771E-2</v>
      </c>
      <c r="S465" s="3"/>
    </row>
    <row r="466" spans="3:19" x14ac:dyDescent="0.25">
      <c r="C466" s="1">
        <f t="shared" si="494"/>
        <v>43928</v>
      </c>
      <c r="D466">
        <v>63161</v>
      </c>
      <c r="E466">
        <v>51279</v>
      </c>
      <c r="F466">
        <v>34956</v>
      </c>
      <c r="G466">
        <v>27461</v>
      </c>
      <c r="H466">
        <f>'Total Traffic'!D464-'Page Sessions'!D466</f>
        <v>67446</v>
      </c>
      <c r="I466" s="2">
        <f t="shared" si="489"/>
        <v>0.43477779009198714</v>
      </c>
      <c r="J466" s="2">
        <f t="shared" si="501"/>
        <v>0.40891183753164628</v>
      </c>
      <c r="K466" s="2">
        <f>D466/'Total Traffic'!D464</f>
        <v>0.48359582564487358</v>
      </c>
      <c r="L466" s="5">
        <f t="shared" si="490"/>
        <v>0.81187758268551791</v>
      </c>
      <c r="M466" s="5">
        <f t="shared" si="491"/>
        <v>0.68168256011232664</v>
      </c>
      <c r="N466" s="5">
        <f t="shared" si="492"/>
        <v>0.78558759583476367</v>
      </c>
      <c r="O466" s="5">
        <f t="shared" si="502"/>
        <v>3.3185191293039207E-3</v>
      </c>
      <c r="P466" s="2">
        <f t="shared" ref="P466:R466" si="509">(L466/L459)-1</f>
        <v>0.41247108942211841</v>
      </c>
      <c r="Q466" s="2">
        <f t="shared" si="509"/>
        <v>-2.1963203149624522E-2</v>
      </c>
      <c r="R466" s="2">
        <f t="shared" si="509"/>
        <v>1.9879954710317227E-2</v>
      </c>
      <c r="S466" s="3"/>
    </row>
    <row r="467" spans="3:19" x14ac:dyDescent="0.25">
      <c r="C467" s="1">
        <f t="shared" si="494"/>
        <v>43929</v>
      </c>
      <c r="D467">
        <v>62838</v>
      </c>
      <c r="E467">
        <v>36691</v>
      </c>
      <c r="F467">
        <v>24693</v>
      </c>
      <c r="G467">
        <v>19230</v>
      </c>
      <c r="H467">
        <f>'Total Traffic'!D465-'Page Sessions'!D467</f>
        <v>67994</v>
      </c>
      <c r="I467" s="2">
        <f t="shared" si="489"/>
        <v>0.30602501670963428</v>
      </c>
      <c r="J467" s="2">
        <f t="shared" si="501"/>
        <v>-2.1118822726959308E-2</v>
      </c>
      <c r="K467" s="2">
        <f>D467/'Total Traffic'!D465</f>
        <v>0.48029534058945822</v>
      </c>
      <c r="L467" s="5">
        <f t="shared" si="490"/>
        <v>0.58389827811197048</v>
      </c>
      <c r="M467" s="5">
        <f t="shared" si="491"/>
        <v>0.67299882805047562</v>
      </c>
      <c r="N467" s="5">
        <f t="shared" si="492"/>
        <v>0.77876321224638556</v>
      </c>
      <c r="O467" s="5">
        <f t="shared" si="502"/>
        <v>-3.8629415542809076E-2</v>
      </c>
      <c r="P467" s="2">
        <f t="shared" ref="P467:R467" si="510">(L467/L460)-1</f>
        <v>-4.7704718955764447E-3</v>
      </c>
      <c r="Q467" s="2">
        <f t="shared" si="510"/>
        <v>-2.4886236314260013E-2</v>
      </c>
      <c r="R467" s="2">
        <f t="shared" si="510"/>
        <v>8.6754208794939114E-3</v>
      </c>
      <c r="S467" s="3"/>
    </row>
    <row r="468" spans="3:19" x14ac:dyDescent="0.25">
      <c r="C468" s="1">
        <f t="shared" si="494"/>
        <v>43930</v>
      </c>
      <c r="D468">
        <v>63478</v>
      </c>
      <c r="E468">
        <v>37096</v>
      </c>
      <c r="F468">
        <v>25915</v>
      </c>
      <c r="G468">
        <v>19998</v>
      </c>
      <c r="H468">
        <f>'Total Traffic'!D466-'Page Sessions'!D468</f>
        <v>67406</v>
      </c>
      <c r="I468" s="2">
        <f t="shared" si="489"/>
        <v>0.31503828097923692</v>
      </c>
      <c r="J468" s="2">
        <f t="shared" si="501"/>
        <v>2.7587996450483487E-2</v>
      </c>
      <c r="K468" s="2">
        <f>D468/'Total Traffic'!D466</f>
        <v>0.48499434613856546</v>
      </c>
      <c r="L468" s="5">
        <f t="shared" si="490"/>
        <v>0.58439144270455901</v>
      </c>
      <c r="M468" s="5">
        <f t="shared" si="491"/>
        <v>0.69859284019840417</v>
      </c>
      <c r="N468" s="5">
        <f t="shared" si="492"/>
        <v>0.77167663515338603</v>
      </c>
      <c r="O468" s="5">
        <f t="shared" si="502"/>
        <v>-2.7468009215583566E-2</v>
      </c>
      <c r="P468" s="2">
        <f t="shared" ref="P468:R468" si="511">(L468/L461)-1</f>
        <v>1.1235592877653966E-2</v>
      </c>
      <c r="Q468" s="2">
        <f t="shared" si="511"/>
        <v>2.8417767141294847E-2</v>
      </c>
      <c r="R468" s="2">
        <f t="shared" si="511"/>
        <v>-1.1908634351901815E-2</v>
      </c>
      <c r="S468" s="3"/>
    </row>
    <row r="469" spans="3:19" x14ac:dyDescent="0.25">
      <c r="C469" s="1">
        <f t="shared" si="494"/>
        <v>43931</v>
      </c>
      <c r="D469">
        <v>63665</v>
      </c>
      <c r="E469">
        <v>38052</v>
      </c>
      <c r="F469">
        <v>25825</v>
      </c>
      <c r="G469">
        <v>20443</v>
      </c>
      <c r="H469">
        <f>'Total Traffic'!D467-'Page Sessions'!D469</f>
        <v>67038</v>
      </c>
      <c r="I469" s="2">
        <f t="shared" si="489"/>
        <v>0.32110264666614308</v>
      </c>
      <c r="J469" s="2">
        <f t="shared" si="501"/>
        <v>6.7095362898681454E-3</v>
      </c>
      <c r="K469" s="2">
        <f>D469/'Total Traffic'!D467</f>
        <v>0.48709670015225359</v>
      </c>
      <c r="L469" s="5">
        <f t="shared" si="490"/>
        <v>0.59769103903243537</v>
      </c>
      <c r="M469" s="5">
        <f t="shared" si="491"/>
        <v>0.67867654788184595</v>
      </c>
      <c r="N469" s="5">
        <f t="shared" si="492"/>
        <v>0.79159728944820906</v>
      </c>
      <c r="O469" s="5">
        <f t="shared" si="502"/>
        <v>-6.9287693688651064E-3</v>
      </c>
      <c r="P469" s="2">
        <f t="shared" ref="P469:R469" si="512">(L469/L462)-1</f>
        <v>1.701329866129675E-2</v>
      </c>
      <c r="Q469" s="2">
        <f t="shared" si="512"/>
        <v>-1.6279369697465018E-3</v>
      </c>
      <c r="R469" s="2">
        <f t="shared" si="512"/>
        <v>-8.5173226351187292E-3</v>
      </c>
      <c r="S469" s="3"/>
    </row>
    <row r="470" spans="3:19" x14ac:dyDescent="0.25">
      <c r="C470" s="1">
        <f t="shared" si="494"/>
        <v>43932</v>
      </c>
      <c r="D470">
        <v>62515</v>
      </c>
      <c r="E470">
        <v>37146</v>
      </c>
      <c r="F470">
        <v>25318</v>
      </c>
      <c r="G470">
        <v>19801</v>
      </c>
      <c r="H470">
        <f>'Total Traffic'!D468-'Page Sessions'!D470</f>
        <v>68544</v>
      </c>
      <c r="I470" s="2">
        <f t="shared" si="489"/>
        <v>0.31673998240422296</v>
      </c>
      <c r="J470" s="2">
        <f t="shared" si="501"/>
        <v>1.4029408626430984E-2</v>
      </c>
      <c r="K470" s="2">
        <f>D470/'Total Traffic'!D468</f>
        <v>0.47699890888836327</v>
      </c>
      <c r="L470" s="5">
        <f t="shared" si="490"/>
        <v>0.59419339358553946</v>
      </c>
      <c r="M470" s="5">
        <f t="shared" si="491"/>
        <v>0.68158078931782695</v>
      </c>
      <c r="N470" s="5">
        <f t="shared" si="492"/>
        <v>0.78209179240066351</v>
      </c>
      <c r="O470" s="5">
        <f t="shared" si="502"/>
        <v>-2.5327863096562431E-2</v>
      </c>
      <c r="P470" s="2">
        <f t="shared" ref="P470:R470" si="513">(L470/L463)-1</f>
        <v>2.5539624241333048E-2</v>
      </c>
      <c r="Q470" s="2">
        <f t="shared" si="513"/>
        <v>8.8795701359445367E-4</v>
      </c>
      <c r="R470" s="2">
        <f t="shared" si="513"/>
        <v>-1.2100781897519175E-2</v>
      </c>
      <c r="S470" s="3"/>
    </row>
    <row r="471" spans="3:19" x14ac:dyDescent="0.25">
      <c r="C471" s="1">
        <f t="shared" si="494"/>
        <v>43933</v>
      </c>
      <c r="D471">
        <v>62417</v>
      </c>
      <c r="E471">
        <v>36620</v>
      </c>
      <c r="F471">
        <v>25428</v>
      </c>
      <c r="G471">
        <v>20255</v>
      </c>
      <c r="H471">
        <f>'Total Traffic'!D469-'Page Sessions'!D471</f>
        <v>67809</v>
      </c>
      <c r="I471" s="2">
        <f t="shared" si="489"/>
        <v>0.32451095054232021</v>
      </c>
      <c r="J471" s="2">
        <f t="shared" si="501"/>
        <v>3.3646914474971812E-2</v>
      </c>
      <c r="K471" s="2">
        <f>D471/'Total Traffic'!D469</f>
        <v>0.4792975289112773</v>
      </c>
      <c r="L471" s="5">
        <f t="shared" si="490"/>
        <v>0.58669913645320981</v>
      </c>
      <c r="M471" s="5">
        <f t="shared" si="491"/>
        <v>0.69437465865647185</v>
      </c>
      <c r="N471" s="5">
        <f t="shared" si="492"/>
        <v>0.79656284410885636</v>
      </c>
      <c r="O471" s="5">
        <f t="shared" si="502"/>
        <v>-3.386647475647353E-2</v>
      </c>
      <c r="P471" s="2">
        <f t="shared" ref="P471:R471" si="514">(L471/L464)-1</f>
        <v>5.6748756883275853E-3</v>
      </c>
      <c r="Q471" s="2">
        <f t="shared" si="514"/>
        <v>7.8242805861679088E-3</v>
      </c>
      <c r="R471" s="2">
        <f t="shared" si="514"/>
        <v>1.9834723648779917E-2</v>
      </c>
      <c r="S471" s="3"/>
    </row>
    <row r="472" spans="3:19" x14ac:dyDescent="0.25">
      <c r="C472" s="1">
        <f t="shared" si="494"/>
        <v>43934</v>
      </c>
      <c r="D472">
        <v>64337</v>
      </c>
      <c r="E472">
        <v>38467</v>
      </c>
      <c r="F472">
        <v>26596</v>
      </c>
      <c r="G472">
        <v>20606</v>
      </c>
      <c r="H472">
        <f>'Total Traffic'!D470-'Page Sessions'!D472</f>
        <v>66059</v>
      </c>
      <c r="I472" s="2">
        <f t="shared" si="489"/>
        <v>0.32028226370517743</v>
      </c>
      <c r="J472" s="2">
        <f t="shared" si="501"/>
        <v>7.3283523694911423E-4</v>
      </c>
      <c r="K472" s="2">
        <f>D472/'Total Traffic'!D470</f>
        <v>0.49339703671891777</v>
      </c>
      <c r="L472" s="5">
        <f t="shared" si="490"/>
        <v>0.5978985653667408</v>
      </c>
      <c r="M472" s="5">
        <f t="shared" si="491"/>
        <v>0.6913978215093457</v>
      </c>
      <c r="N472" s="5">
        <f t="shared" si="492"/>
        <v>0.77477816212964357</v>
      </c>
      <c r="O472" s="5">
        <f t="shared" si="502"/>
        <v>1.0246755841880617E-2</v>
      </c>
      <c r="P472" s="2">
        <f t="shared" ref="P472:R472" si="515">(L472/L465)-1</f>
        <v>-1.1556616606134273E-3</v>
      </c>
      <c r="Q472" s="2">
        <f t="shared" si="515"/>
        <v>2.5053721998225864E-2</v>
      </c>
      <c r="R472" s="2">
        <f t="shared" si="515"/>
        <v>-2.2596903571981963E-2</v>
      </c>
      <c r="S472" s="3"/>
    </row>
    <row r="473" spans="3:19" x14ac:dyDescent="0.25">
      <c r="C473" s="1">
        <f t="shared" si="494"/>
        <v>43935</v>
      </c>
      <c r="D473">
        <v>62397</v>
      </c>
      <c r="E473">
        <v>36889</v>
      </c>
      <c r="F473">
        <v>25018</v>
      </c>
      <c r="G473">
        <v>19991</v>
      </c>
      <c r="H473">
        <f>'Total Traffic'!D471-'Page Sessions'!D473</f>
        <v>68334</v>
      </c>
      <c r="I473" s="2">
        <f t="shared" si="489"/>
        <v>0.32038399282016766</v>
      </c>
      <c r="J473" s="2">
        <f t="shared" si="501"/>
        <v>-0.26310864970268344</v>
      </c>
      <c r="K473" s="2">
        <f>D473/'Total Traffic'!D471</f>
        <v>0.47729306744383504</v>
      </c>
      <c r="L473" s="5">
        <f t="shared" si="490"/>
        <v>0.59119829478981356</v>
      </c>
      <c r="M473" s="5">
        <f t="shared" si="491"/>
        <v>0.67819675241942046</v>
      </c>
      <c r="N473" s="5">
        <f t="shared" si="492"/>
        <v>0.79906467343512666</v>
      </c>
      <c r="O473" s="5">
        <f t="shared" si="502"/>
        <v>-1.3033111261111174E-2</v>
      </c>
      <c r="P473" s="2">
        <f t="shared" ref="P473:R473" si="516">(L473/L466)-1</f>
        <v>-0.27181350070751342</v>
      </c>
      <c r="Q473" s="2">
        <f t="shared" si="516"/>
        <v>-5.1135350922455469E-3</v>
      </c>
      <c r="R473" s="2">
        <f t="shared" si="516"/>
        <v>1.7155410385575554E-2</v>
      </c>
      <c r="S473" s="3"/>
    </row>
    <row r="474" spans="3:19" x14ac:dyDescent="0.25">
      <c r="C474" s="1">
        <f t="shared" si="494"/>
        <v>43936</v>
      </c>
      <c r="D474">
        <v>64236</v>
      </c>
      <c r="E474">
        <v>36993</v>
      </c>
      <c r="F474">
        <v>25380</v>
      </c>
      <c r="G474">
        <v>20050</v>
      </c>
      <c r="H474">
        <f>'Total Traffic'!D472-'Page Sessions'!D474</f>
        <v>66486</v>
      </c>
      <c r="I474" s="2">
        <f t="shared" si="489"/>
        <v>0.31213026963073665</v>
      </c>
      <c r="J474" s="2">
        <f t="shared" si="501"/>
        <v>1.9950175925961044E-2</v>
      </c>
      <c r="K474" s="2">
        <f>D474/'Total Traffic'!D472</f>
        <v>0.49139395052095286</v>
      </c>
      <c r="L474" s="5">
        <f t="shared" si="490"/>
        <v>0.57589202316458066</v>
      </c>
      <c r="M474" s="5">
        <f t="shared" si="491"/>
        <v>0.68607574405968696</v>
      </c>
      <c r="N474" s="5">
        <f t="shared" si="492"/>
        <v>0.7899921197793538</v>
      </c>
      <c r="O474" s="5">
        <f t="shared" si="502"/>
        <v>2.3107885905937708E-2</v>
      </c>
      <c r="P474" s="2">
        <f t="shared" ref="P474:R474" si="517">(L474/L467)-1</f>
        <v>-1.3711728990326799E-2</v>
      </c>
      <c r="Q474" s="2">
        <f t="shared" si="517"/>
        <v>1.9430815425180104E-2</v>
      </c>
      <c r="R474" s="2">
        <f t="shared" si="517"/>
        <v>1.4418898268933056E-2</v>
      </c>
      <c r="S474" s="3"/>
    </row>
    <row r="475" spans="3:19" x14ac:dyDescent="0.25">
      <c r="C475" s="1">
        <f t="shared" si="494"/>
        <v>43937</v>
      </c>
      <c r="D475">
        <v>62072</v>
      </c>
      <c r="E475">
        <v>35691</v>
      </c>
      <c r="F475">
        <v>24915</v>
      </c>
      <c r="G475">
        <v>19837</v>
      </c>
      <c r="H475">
        <f>'Total Traffic'!D473-'Page Sessions'!D475</f>
        <v>68662</v>
      </c>
      <c r="I475" s="2">
        <f t="shared" si="489"/>
        <v>0.31958048717618248</v>
      </c>
      <c r="J475" s="2">
        <f t="shared" si="501"/>
        <v>1.441795004348978E-2</v>
      </c>
      <c r="K475" s="2">
        <f>D475/'Total Traffic'!D473</f>
        <v>0.47479615096302413</v>
      </c>
      <c r="L475" s="5">
        <f t="shared" si="490"/>
        <v>0.57499355587060186</v>
      </c>
      <c r="M475" s="5">
        <f t="shared" si="491"/>
        <v>0.69807514499453649</v>
      </c>
      <c r="N475" s="5">
        <f t="shared" si="492"/>
        <v>0.79618703592213524</v>
      </c>
      <c r="O475" s="5">
        <f t="shared" si="502"/>
        <v>-2.1027451673895636E-2</v>
      </c>
      <c r="P475" s="2">
        <f t="shared" ref="P475:R475" si="518">(L475/L468)-1</f>
        <v>-1.6081492895350769E-2</v>
      </c>
      <c r="Q475" s="2">
        <f t="shared" si="518"/>
        <v>-7.4105426520065798E-4</v>
      </c>
      <c r="R475" s="2">
        <f t="shared" si="518"/>
        <v>3.1762528048911776E-2</v>
      </c>
      <c r="S475" s="3"/>
    </row>
    <row r="476" spans="3:19" x14ac:dyDescent="0.25">
      <c r="C476" s="1">
        <f t="shared" si="494"/>
        <v>43938</v>
      </c>
      <c r="D476">
        <v>64359</v>
      </c>
      <c r="E476">
        <v>36768</v>
      </c>
      <c r="F476">
        <v>25509</v>
      </c>
      <c r="G476">
        <v>8563</v>
      </c>
      <c r="H476">
        <f>'Total Traffic'!D474-'Page Sessions'!D476</f>
        <v>65817</v>
      </c>
      <c r="I476" s="2">
        <f t="shared" si="489"/>
        <v>0.13305054460137666</v>
      </c>
      <c r="J476" s="2">
        <f t="shared" si="501"/>
        <v>-0.58564482111007943</v>
      </c>
      <c r="K476" s="2">
        <f>D476/'Total Traffic'!D474</f>
        <v>0.49439988938053098</v>
      </c>
      <c r="L476" s="5">
        <f t="shared" si="490"/>
        <v>0.57129538992215545</v>
      </c>
      <c r="M476" s="5">
        <f t="shared" si="491"/>
        <v>0.69378263707571797</v>
      </c>
      <c r="N476" s="5">
        <f t="shared" si="492"/>
        <v>0.33568544435297348</v>
      </c>
      <c r="O476" s="5">
        <f t="shared" si="502"/>
        <v>1.499330466824067E-2</v>
      </c>
      <c r="P476" s="2">
        <f t="shared" ref="P476:R476" si="519">(L476/L469)-1</f>
        <v>-4.4162698428623193E-2</v>
      </c>
      <c r="Q476" s="2">
        <f t="shared" si="519"/>
        <v>2.2258157057317263E-2</v>
      </c>
      <c r="R476" s="2">
        <f t="shared" si="519"/>
        <v>-0.57593911850435164</v>
      </c>
      <c r="S476" s="3"/>
    </row>
    <row r="477" spans="3:19" x14ac:dyDescent="0.25">
      <c r="C477" s="1">
        <f t="shared" si="494"/>
        <v>43939</v>
      </c>
      <c r="D477">
        <v>64893</v>
      </c>
      <c r="E477">
        <v>38260</v>
      </c>
      <c r="F477">
        <v>26701</v>
      </c>
      <c r="G477">
        <v>20965</v>
      </c>
      <c r="H477">
        <f>'Total Traffic'!D475-'Page Sessions'!D477</f>
        <v>65284</v>
      </c>
      <c r="I477" s="2">
        <f t="shared" si="489"/>
        <v>0.32307028493057804</v>
      </c>
      <c r="J477" s="2">
        <f t="shared" si="501"/>
        <v>1.998580185016352E-2</v>
      </c>
      <c r="K477" s="2">
        <f>D477/'Total Traffic'!D475</f>
        <v>0.49849819860651268</v>
      </c>
      <c r="L477" s="5">
        <f t="shared" si="490"/>
        <v>0.58958593376789481</v>
      </c>
      <c r="M477" s="5">
        <f t="shared" si="491"/>
        <v>0.69788290642969153</v>
      </c>
      <c r="N477" s="5">
        <f t="shared" si="492"/>
        <v>0.7851765851466237</v>
      </c>
      <c r="O477" s="5">
        <f t="shared" si="502"/>
        <v>4.507198930130274E-2</v>
      </c>
      <c r="P477" s="2">
        <f t="shared" ref="P477:R477" si="520">(L477/L470)-1</f>
        <v>-7.7541417783895117E-3</v>
      </c>
      <c r="Q477" s="2">
        <f t="shared" si="520"/>
        <v>2.3918099464306897E-2</v>
      </c>
      <c r="R477" s="2">
        <f t="shared" si="520"/>
        <v>3.9442847705781769E-3</v>
      </c>
      <c r="S477" s="3"/>
    </row>
    <row r="478" spans="3:19" x14ac:dyDescent="0.25">
      <c r="C478" s="1">
        <f t="shared" si="494"/>
        <v>43940</v>
      </c>
      <c r="D478">
        <v>62169</v>
      </c>
      <c r="E478">
        <v>36990</v>
      </c>
      <c r="F478">
        <v>24872</v>
      </c>
      <c r="G478">
        <v>19619</v>
      </c>
      <c r="H478">
        <f>'Total Traffic'!D476-'Page Sessions'!D478</f>
        <v>68412</v>
      </c>
      <c r="I478" s="2">
        <f t="shared" si="489"/>
        <v>0.31557528671846097</v>
      </c>
      <c r="J478" s="2">
        <f t="shared" si="501"/>
        <v>-2.7535785183600225E-2</v>
      </c>
      <c r="K478" s="2">
        <f>D478/'Total Traffic'!D476</f>
        <v>0.47609529717187032</v>
      </c>
      <c r="L478" s="5">
        <f t="shared" si="490"/>
        <v>0.59499107272113116</v>
      </c>
      <c r="M478" s="5">
        <f t="shared" si="491"/>
        <v>0.67239794539064612</v>
      </c>
      <c r="N478" s="5">
        <f t="shared" si="492"/>
        <v>0.78879864908330655</v>
      </c>
      <c r="O478" s="5">
        <f t="shared" si="502"/>
        <v>-6.6810937804766546E-3</v>
      </c>
      <c r="P478" s="2">
        <f t="shared" ref="P478:R478" si="521">(L478/L471)-1</f>
        <v>1.4133200055566508E-2</v>
      </c>
      <c r="Q478" s="2">
        <f t="shared" si="521"/>
        <v>-3.1649647624450883E-2</v>
      </c>
      <c r="R478" s="2">
        <f t="shared" si="521"/>
        <v>-9.7471217531316379E-3</v>
      </c>
      <c r="S478" s="3"/>
    </row>
    <row r="479" spans="3:19" x14ac:dyDescent="0.25">
      <c r="C479" s="1">
        <f t="shared" si="494"/>
        <v>43941</v>
      </c>
      <c r="D479">
        <v>63538</v>
      </c>
      <c r="E479">
        <v>36483</v>
      </c>
      <c r="F479">
        <v>24786</v>
      </c>
      <c r="G479">
        <v>19769</v>
      </c>
      <c r="H479">
        <f>'Total Traffic'!D477-'Page Sessions'!D479</f>
        <v>67335</v>
      </c>
      <c r="I479" s="2">
        <f t="shared" si="489"/>
        <v>0.31113664263905066</v>
      </c>
      <c r="J479" s="2">
        <f t="shared" si="501"/>
        <v>-2.8554878313665766E-2</v>
      </c>
      <c r="K479" s="2">
        <f>D479/'Total Traffic'!D477</f>
        <v>0.48549357010231292</v>
      </c>
      <c r="L479" s="5">
        <f t="shared" si="490"/>
        <v>0.57419182221662624</v>
      </c>
      <c r="M479" s="5">
        <f t="shared" si="491"/>
        <v>0.67938491900337139</v>
      </c>
      <c r="N479" s="5">
        <f t="shared" si="492"/>
        <v>0.79758734769628015</v>
      </c>
      <c r="O479" s="5">
        <f t="shared" si="502"/>
        <v>-1.6018471998054062E-2</v>
      </c>
      <c r="P479" s="2">
        <f t="shared" ref="P479:R479" si="522">(L479/L472)-1</f>
        <v>-3.9650108769826664E-2</v>
      </c>
      <c r="Q479" s="2">
        <f t="shared" si="522"/>
        <v>-1.7374805260088499E-2</v>
      </c>
      <c r="R479" s="2">
        <f t="shared" si="522"/>
        <v>2.9439634054657216E-2</v>
      </c>
      <c r="S479" s="3"/>
    </row>
    <row r="480" spans="3:19" x14ac:dyDescent="0.25">
      <c r="C480" s="1">
        <f t="shared" si="494"/>
        <v>43942</v>
      </c>
      <c r="D480">
        <v>64190</v>
      </c>
      <c r="E480">
        <v>36780</v>
      </c>
      <c r="F480">
        <v>25617</v>
      </c>
      <c r="G480">
        <v>20457</v>
      </c>
      <c r="H480">
        <f>'Total Traffic'!D478-'Page Sessions'!D480</f>
        <v>65961</v>
      </c>
      <c r="I480" s="2">
        <f t="shared" si="489"/>
        <v>0.31869450070104377</v>
      </c>
      <c r="J480" s="2">
        <f t="shared" si="501"/>
        <v>-5.2733349885935032E-3</v>
      </c>
      <c r="K480" s="2">
        <f>D480/'Total Traffic'!D478</f>
        <v>0.49319636422309471</v>
      </c>
      <c r="L480" s="5">
        <f t="shared" si="490"/>
        <v>0.57298644648699171</v>
      </c>
      <c r="M480" s="5">
        <f t="shared" si="491"/>
        <v>0.69649265905383362</v>
      </c>
      <c r="N480" s="5">
        <f t="shared" si="492"/>
        <v>0.79857126127181166</v>
      </c>
      <c r="O480" s="5">
        <f t="shared" si="502"/>
        <v>3.3319773246300199E-2</v>
      </c>
      <c r="P480" s="2">
        <f t="shared" ref="P480:R480" si="523">(L480/L473)-1</f>
        <v>-3.080497434333207E-2</v>
      </c>
      <c r="Q480" s="2">
        <f t="shared" si="523"/>
        <v>2.6977284348743691E-2</v>
      </c>
      <c r="R480" s="2">
        <f t="shared" si="523"/>
        <v>-6.1748714430565066E-4</v>
      </c>
      <c r="S480" s="3"/>
    </row>
    <row r="481" spans="3:19" x14ac:dyDescent="0.25">
      <c r="C481" s="1">
        <f t="shared" si="494"/>
        <v>43943</v>
      </c>
      <c r="D481">
        <v>65287</v>
      </c>
      <c r="E481">
        <v>37442</v>
      </c>
      <c r="F481">
        <v>35820</v>
      </c>
      <c r="G481">
        <v>27692</v>
      </c>
      <c r="H481">
        <f>'Total Traffic'!D479-'Page Sessions'!D481</f>
        <v>65523</v>
      </c>
      <c r="I481" s="2">
        <f t="shared" si="489"/>
        <v>0.42415794874936819</v>
      </c>
      <c r="J481" s="2">
        <f t="shared" si="501"/>
        <v>0.35891321675134247</v>
      </c>
      <c r="K481" s="2">
        <f>D481/'Total Traffic'!D479</f>
        <v>0.49909792829294397</v>
      </c>
      <c r="L481" s="5">
        <f t="shared" si="490"/>
        <v>0.57349855254491711</v>
      </c>
      <c r="M481" s="5">
        <f t="shared" si="491"/>
        <v>0.95667966454783393</v>
      </c>
      <c r="N481" s="5">
        <f t="shared" si="492"/>
        <v>0.77308766052484645</v>
      </c>
      <c r="O481" s="5">
        <f t="shared" si="502"/>
        <v>1.5677803448381322E-2</v>
      </c>
      <c r="P481" s="2">
        <f t="shared" ref="P481:R481" si="524">(L481/L474)-1</f>
        <v>-4.1561100404051698E-3</v>
      </c>
      <c r="Q481" s="2">
        <f t="shared" si="524"/>
        <v>0.39442280656493378</v>
      </c>
      <c r="R481" s="2">
        <f t="shared" si="524"/>
        <v>-2.139826313612947E-2</v>
      </c>
      <c r="S481" s="3"/>
    </row>
    <row r="482" spans="3:19" x14ac:dyDescent="0.25">
      <c r="C482" s="1">
        <f t="shared" si="494"/>
        <v>43944</v>
      </c>
      <c r="D482">
        <v>61879</v>
      </c>
      <c r="E482">
        <v>35481</v>
      </c>
      <c r="F482">
        <v>24049</v>
      </c>
      <c r="G482">
        <v>18556</v>
      </c>
      <c r="H482">
        <f>'Total Traffic'!D480-'Page Sessions'!D482</f>
        <v>68945</v>
      </c>
      <c r="I482" s="2">
        <f t="shared" si="489"/>
        <v>0.2998755635999289</v>
      </c>
      <c r="J482" s="2">
        <f t="shared" si="501"/>
        <v>-6.1658719374160009E-2</v>
      </c>
      <c r="K482" s="2">
        <f>D482/'Total Traffic'!D480</f>
        <v>0.47299425181923804</v>
      </c>
      <c r="L482" s="5">
        <f t="shared" si="490"/>
        <v>0.57339323518479612</v>
      </c>
      <c r="M482" s="5">
        <f t="shared" si="491"/>
        <v>0.67779938558665198</v>
      </c>
      <c r="N482" s="5">
        <f t="shared" si="492"/>
        <v>0.77159133435901706</v>
      </c>
      <c r="O482" s="5">
        <f t="shared" si="502"/>
        <v>-3.795100571332144E-3</v>
      </c>
      <c r="P482" s="2">
        <f t="shared" ref="P482:R482" si="525">(L482/L475)-1</f>
        <v>-2.7831976018978244E-3</v>
      </c>
      <c r="Q482" s="2">
        <f t="shared" si="525"/>
        <v>-2.9045238973582466E-2</v>
      </c>
      <c r="R482" s="2">
        <f t="shared" si="525"/>
        <v>-3.0891863913146578E-2</v>
      </c>
      <c r="S482" s="3"/>
    </row>
    <row r="483" spans="3:19" x14ac:dyDescent="0.25">
      <c r="C483" s="1">
        <f t="shared" si="494"/>
        <v>43945</v>
      </c>
      <c r="D483">
        <v>63636</v>
      </c>
      <c r="E483">
        <v>37901</v>
      </c>
      <c r="F483">
        <v>26011</v>
      </c>
      <c r="G483">
        <v>20665</v>
      </c>
      <c r="H483">
        <f>'Total Traffic'!D481-'Page Sessions'!D483</f>
        <v>66526</v>
      </c>
      <c r="I483" s="2">
        <f t="shared" si="489"/>
        <v>0.32473756992897101</v>
      </c>
      <c r="J483" s="2">
        <f t="shared" si="501"/>
        <v>1.4407083105288616</v>
      </c>
      <c r="K483" s="2">
        <f>D483/'Total Traffic'!D481</f>
        <v>0.48889844962431434</v>
      </c>
      <c r="L483" s="5">
        <f t="shared" si="490"/>
        <v>0.59559054623169272</v>
      </c>
      <c r="M483" s="5">
        <f t="shared" si="491"/>
        <v>0.68628796073982212</v>
      </c>
      <c r="N483" s="5">
        <f t="shared" si="492"/>
        <v>0.79447156972050281</v>
      </c>
      <c r="O483" s="5">
        <f t="shared" si="502"/>
        <v>-1.1127510087248993E-2</v>
      </c>
      <c r="P483" s="2">
        <f t="shared" ref="P483:R483" si="526">(L483/L476)-1</f>
        <v>4.2526435077390845E-2</v>
      </c>
      <c r="Q483" s="2">
        <f t="shared" si="526"/>
        <v>-1.0802628857196184E-2</v>
      </c>
      <c r="R483" s="2">
        <f t="shared" si="526"/>
        <v>1.3667143842111766</v>
      </c>
      <c r="S483" s="3"/>
    </row>
    <row r="484" spans="3:19" x14ac:dyDescent="0.25">
      <c r="C484" s="1">
        <f t="shared" si="494"/>
        <v>43946</v>
      </c>
      <c r="D484">
        <v>63081</v>
      </c>
      <c r="E484">
        <v>36214</v>
      </c>
      <c r="F484">
        <v>25013</v>
      </c>
      <c r="G484">
        <v>19467</v>
      </c>
      <c r="H484">
        <f>'Total Traffic'!D482-'Page Sessions'!D484</f>
        <v>67793</v>
      </c>
      <c r="I484" s="2">
        <f t="shared" si="489"/>
        <v>0.30860322442573834</v>
      </c>
      <c r="J484" s="2">
        <f t="shared" si="501"/>
        <v>-4.4779916877680126E-2</v>
      </c>
      <c r="K484" s="2">
        <f>D484/'Total Traffic'!D482</f>
        <v>0.48199795222886133</v>
      </c>
      <c r="L484" s="5">
        <f t="shared" si="490"/>
        <v>0.57408728460233671</v>
      </c>
      <c r="M484" s="5">
        <f t="shared" si="491"/>
        <v>0.6906997293864251</v>
      </c>
      <c r="N484" s="5">
        <f t="shared" si="492"/>
        <v>0.77827529684564023</v>
      </c>
      <c r="O484" s="5">
        <f t="shared" si="502"/>
        <v>-3.3099911742460963E-2</v>
      </c>
      <c r="P484" s="2">
        <f t="shared" ref="P484:R484" si="527">(L484/L477)-1</f>
        <v>-2.6287345538436035E-2</v>
      </c>
      <c r="Q484" s="2">
        <f t="shared" si="527"/>
        <v>-1.0292811268318602E-2</v>
      </c>
      <c r="R484" s="2">
        <f t="shared" si="527"/>
        <v>-8.7894728797786037E-3</v>
      </c>
      <c r="S484" s="3"/>
    </row>
    <row r="485" spans="3:19" x14ac:dyDescent="0.25">
      <c r="C485" s="1">
        <f t="shared" si="494"/>
        <v>43947</v>
      </c>
      <c r="D485">
        <v>63009</v>
      </c>
      <c r="E485">
        <v>36872</v>
      </c>
      <c r="F485">
        <v>24866</v>
      </c>
      <c r="G485">
        <v>19390</v>
      </c>
      <c r="H485">
        <f>'Total Traffic'!D483-'Page Sessions'!D485</f>
        <v>67554</v>
      </c>
      <c r="I485" s="2">
        <f t="shared" si="489"/>
        <v>0.30773381580409148</v>
      </c>
      <c r="J485" s="2">
        <f t="shared" si="501"/>
        <v>-2.4848178055733583E-2</v>
      </c>
      <c r="K485" s="2">
        <f>D485/'Total Traffic'!D483</f>
        <v>0.48259460949886263</v>
      </c>
      <c r="L485" s="5">
        <f t="shared" si="490"/>
        <v>0.58518624323509338</v>
      </c>
      <c r="M485" s="5">
        <f t="shared" si="491"/>
        <v>0.67438706877847687</v>
      </c>
      <c r="N485" s="5">
        <f t="shared" si="492"/>
        <v>0.77977961875653501</v>
      </c>
      <c r="O485" s="5">
        <f t="shared" si="502"/>
        <v>1.3651284449982759E-2</v>
      </c>
      <c r="P485" s="2">
        <f t="shared" ref="P485:R485" si="528">(L485/L478)-1</f>
        <v>-1.6478952265949753E-2</v>
      </c>
      <c r="Q485" s="2">
        <f t="shared" si="528"/>
        <v>2.9582532211265278E-3</v>
      </c>
      <c r="R485" s="2">
        <f t="shared" si="528"/>
        <v>-1.1433881558054027E-2</v>
      </c>
      <c r="S485" s="3"/>
    </row>
    <row r="486" spans="3:19" x14ac:dyDescent="0.25">
      <c r="C486" s="1">
        <f t="shared" si="494"/>
        <v>43948</v>
      </c>
      <c r="D486">
        <v>63128</v>
      </c>
      <c r="E486">
        <v>37819</v>
      </c>
      <c r="F486">
        <v>25860</v>
      </c>
      <c r="G486">
        <v>20000</v>
      </c>
      <c r="H486">
        <f>'Total Traffic'!D484-'Page Sessions'!D486</f>
        <v>67115</v>
      </c>
      <c r="I486" s="2">
        <f t="shared" si="489"/>
        <v>0.31681662653656062</v>
      </c>
      <c r="J486" s="2">
        <f t="shared" si="501"/>
        <v>1.8255592942485022E-2</v>
      </c>
      <c r="K486" s="2">
        <f>D486/'Total Traffic'!D484</f>
        <v>0.48469399507075234</v>
      </c>
      <c r="L486" s="5">
        <f t="shared" si="490"/>
        <v>0.59908439994930929</v>
      </c>
      <c r="M486" s="5">
        <f t="shared" si="491"/>
        <v>0.68378328353473117</v>
      </c>
      <c r="N486" s="5">
        <f t="shared" si="492"/>
        <v>0.77339520494972935</v>
      </c>
      <c r="O486" s="5">
        <f t="shared" si="502"/>
        <v>-1.646932278407065E-3</v>
      </c>
      <c r="P486" s="2">
        <f t="shared" ref="P486:R486" si="529">(L486/L479)-1</f>
        <v>4.3352372446871623E-2</v>
      </c>
      <c r="Q486" s="2">
        <f t="shared" si="529"/>
        <v>6.4740391026223421E-3</v>
      </c>
      <c r="R486" s="2">
        <f t="shared" si="529"/>
        <v>-3.0331653099094913E-2</v>
      </c>
      <c r="S486" s="3"/>
    </row>
    <row r="487" spans="3:19" x14ac:dyDescent="0.25">
      <c r="C487" s="1">
        <f t="shared" si="494"/>
        <v>43949</v>
      </c>
      <c r="D487">
        <v>62992</v>
      </c>
      <c r="E487">
        <v>36711</v>
      </c>
      <c r="F487">
        <v>25018</v>
      </c>
      <c r="G487">
        <v>19566</v>
      </c>
      <c r="H487">
        <f>'Total Traffic'!D485-'Page Sessions'!D487</f>
        <v>67346</v>
      </c>
      <c r="I487" s="2">
        <f t="shared" si="489"/>
        <v>0.31061087122174247</v>
      </c>
      <c r="J487" s="2">
        <f t="shared" si="501"/>
        <v>-2.5364822617018667E-2</v>
      </c>
      <c r="K487" s="2">
        <f>D487/'Total Traffic'!D485</f>
        <v>0.48329727324341326</v>
      </c>
      <c r="L487" s="5">
        <f t="shared" si="490"/>
        <v>0.5827882905765811</v>
      </c>
      <c r="M487" s="5">
        <f t="shared" si="491"/>
        <v>0.68148511345373319</v>
      </c>
      <c r="N487" s="5">
        <f t="shared" si="492"/>
        <v>0.78207690462866741</v>
      </c>
      <c r="O487" s="5">
        <f t="shared" si="502"/>
        <v>-2.0071297555639855E-2</v>
      </c>
      <c r="P487" s="2">
        <f t="shared" ref="P487:R487" si="530">(L487/L480)-1</f>
        <v>1.7106589780063741E-2</v>
      </c>
      <c r="Q487" s="2">
        <f t="shared" si="530"/>
        <v>-2.1547313392344725E-2</v>
      </c>
      <c r="R487" s="2">
        <f t="shared" si="530"/>
        <v>-2.0654833755068047E-2</v>
      </c>
      <c r="S487" s="3"/>
    </row>
    <row r="488" spans="3:19" x14ac:dyDescent="0.25">
      <c r="C488" s="1">
        <f t="shared" si="494"/>
        <v>43950</v>
      </c>
      <c r="D488">
        <v>63867</v>
      </c>
      <c r="E488">
        <v>38205</v>
      </c>
      <c r="F488">
        <v>25971</v>
      </c>
      <c r="G488">
        <v>20018</v>
      </c>
      <c r="H488">
        <f>'Total Traffic'!D486-'Page Sessions'!D488</f>
        <v>66210</v>
      </c>
      <c r="I488" s="2">
        <f t="shared" si="489"/>
        <v>0.3134326021262937</v>
      </c>
      <c r="J488" s="2">
        <f t="shared" si="501"/>
        <v>-0.26104743987363366</v>
      </c>
      <c r="K488" s="2">
        <f>D488/'Total Traffic'!D486</f>
        <v>0.49099379598237969</v>
      </c>
      <c r="L488" s="5">
        <f t="shared" si="490"/>
        <v>0.59819625158532574</v>
      </c>
      <c r="M488" s="5">
        <f t="shared" si="491"/>
        <v>0.6797801334903808</v>
      </c>
      <c r="N488" s="5">
        <f t="shared" si="492"/>
        <v>0.77078279619575685</v>
      </c>
      <c r="O488" s="5">
        <f t="shared" si="502"/>
        <v>-1.6237559507174648E-2</v>
      </c>
      <c r="P488" s="2">
        <f t="shared" ref="P488:R488" si="531">(L488/L481)-1</f>
        <v>4.3064971883210346E-2</v>
      </c>
      <c r="Q488" s="2">
        <f t="shared" si="531"/>
        <v>-0.28943808603721832</v>
      </c>
      <c r="R488" s="2">
        <f t="shared" si="531"/>
        <v>-2.9813751360677765E-3</v>
      </c>
      <c r="S488" s="3"/>
    </row>
    <row r="489" spans="3:19" x14ac:dyDescent="0.25">
      <c r="C489" s="1">
        <f t="shared" si="494"/>
        <v>43951</v>
      </c>
      <c r="D489">
        <v>62759</v>
      </c>
      <c r="E489">
        <v>36130</v>
      </c>
      <c r="F489">
        <v>24796</v>
      </c>
      <c r="G489">
        <v>19787</v>
      </c>
      <c r="H489">
        <f>'Total Traffic'!D487-'Page Sessions'!D489</f>
        <v>68235</v>
      </c>
      <c r="I489" s="2">
        <f t="shared" si="489"/>
        <v>0.31528545706591882</v>
      </c>
      <c r="J489" s="2">
        <f t="shared" si="501"/>
        <v>5.1387626524142638E-2</v>
      </c>
      <c r="K489" s="2">
        <f>D489/'Total Traffic'!D487</f>
        <v>0.47909827931050275</v>
      </c>
      <c r="L489" s="5">
        <f t="shared" si="490"/>
        <v>0.57569432272662091</v>
      </c>
      <c r="M489" s="5">
        <f t="shared" si="491"/>
        <v>0.68629947412122894</v>
      </c>
      <c r="N489" s="5">
        <f t="shared" si="492"/>
        <v>0.79799161155025</v>
      </c>
      <c r="O489" s="5">
        <f t="shared" si="502"/>
        <v>1.2905077530619646E-2</v>
      </c>
      <c r="P489" s="2">
        <f t="shared" ref="P489:R489" si="532">(L489/L482)-1</f>
        <v>4.013105493096969E-3</v>
      </c>
      <c r="Q489" s="2">
        <f t="shared" si="532"/>
        <v>1.2540714428679989E-2</v>
      </c>
      <c r="R489" s="2">
        <f t="shared" si="532"/>
        <v>3.4215362479627087E-2</v>
      </c>
      <c r="S489" s="3"/>
    </row>
    <row r="490" spans="3:19" x14ac:dyDescent="0.25">
      <c r="C490" s="1">
        <f t="shared" si="494"/>
        <v>43952</v>
      </c>
      <c r="D490">
        <v>62766</v>
      </c>
      <c r="E490">
        <v>35927</v>
      </c>
      <c r="F490">
        <v>25012</v>
      </c>
      <c r="G490">
        <v>19264</v>
      </c>
      <c r="H490">
        <f>'Total Traffic'!D488-'Page Sessions'!D490</f>
        <v>67808</v>
      </c>
      <c r="I490" s="2">
        <f t="shared" si="489"/>
        <v>0.30691775802185894</v>
      </c>
      <c r="J490" s="2">
        <f t="shared" si="501"/>
        <v>-5.4874500388143455E-2</v>
      </c>
      <c r="K490" s="2">
        <f>D490/'Total Traffic'!D488</f>
        <v>0.48069294040161137</v>
      </c>
      <c r="L490" s="5">
        <f t="shared" si="490"/>
        <v>0.57239588312143519</v>
      </c>
      <c r="M490" s="5">
        <f t="shared" si="491"/>
        <v>0.69618949536560248</v>
      </c>
      <c r="N490" s="5">
        <f t="shared" si="492"/>
        <v>0.77019030865184712</v>
      </c>
      <c r="O490" s="5">
        <f t="shared" si="502"/>
        <v>-1.6783667915102551E-2</v>
      </c>
      <c r="P490" s="2">
        <f t="shared" ref="P490:R490" si="533">(L490/L483)-1</f>
        <v>-3.8943974609755627E-2</v>
      </c>
      <c r="Q490" s="2">
        <f t="shared" si="533"/>
        <v>1.4427667673357458E-2</v>
      </c>
      <c r="R490" s="2">
        <f t="shared" si="533"/>
        <v>-3.0562781594812627E-2</v>
      </c>
      <c r="S490" s="3"/>
    </row>
    <row r="491" spans="3:19" x14ac:dyDescent="0.25">
      <c r="C491" s="1">
        <f t="shared" si="494"/>
        <v>43953</v>
      </c>
      <c r="D491">
        <v>62652</v>
      </c>
      <c r="E491">
        <v>36212</v>
      </c>
      <c r="F491">
        <v>24750</v>
      </c>
      <c r="G491">
        <v>19421</v>
      </c>
      <c r="H491">
        <f>'Total Traffic'!D489-'Page Sessions'!D491</f>
        <v>68338</v>
      </c>
      <c r="I491" s="2">
        <f t="shared" si="489"/>
        <v>0.30998212347570708</v>
      </c>
      <c r="J491" s="2">
        <f t="shared" si="501"/>
        <v>4.4681939164266105E-3</v>
      </c>
      <c r="K491" s="2">
        <f>D491/'Total Traffic'!D489</f>
        <v>0.478296053133827</v>
      </c>
      <c r="L491" s="5">
        <f t="shared" si="490"/>
        <v>0.57798633722786186</v>
      </c>
      <c r="M491" s="5">
        <f t="shared" si="491"/>
        <v>0.68347509113001215</v>
      </c>
      <c r="N491" s="5">
        <f t="shared" si="492"/>
        <v>0.78468686868686865</v>
      </c>
      <c r="O491" s="5">
        <f t="shared" si="502"/>
        <v>-7.6803212086606898E-3</v>
      </c>
      <c r="P491" s="2">
        <f t="shared" ref="P491:R491" si="534">(L491/L484)-1</f>
        <v>6.7917418310805555E-3</v>
      </c>
      <c r="Q491" s="2">
        <f t="shared" si="534"/>
        <v>-1.0459882853625646E-2</v>
      </c>
      <c r="R491" s="2">
        <f t="shared" si="534"/>
        <v>8.2381798153103869E-3</v>
      </c>
      <c r="S491" s="3"/>
    </row>
    <row r="492" spans="3:19" x14ac:dyDescent="0.25">
      <c r="C492" s="1">
        <f t="shared" si="494"/>
        <v>43954</v>
      </c>
      <c r="D492">
        <v>65014</v>
      </c>
      <c r="E492">
        <v>37214</v>
      </c>
      <c r="F492">
        <v>25774</v>
      </c>
      <c r="G492">
        <v>19866</v>
      </c>
      <c r="H492">
        <f>'Total Traffic'!D490-'Page Sessions'!D492</f>
        <v>65669</v>
      </c>
      <c r="I492" s="2">
        <f t="shared" si="489"/>
        <v>0.30556495524040977</v>
      </c>
      <c r="J492" s="2">
        <f t="shared" si="501"/>
        <v>-7.0478460679226362E-3</v>
      </c>
      <c r="K492" s="2">
        <f>D492/'Total Traffic'!D490</f>
        <v>0.49749393570701622</v>
      </c>
      <c r="L492" s="5">
        <f t="shared" si="490"/>
        <v>0.57239979081428616</v>
      </c>
      <c r="M492" s="5">
        <f t="shared" si="491"/>
        <v>0.69258881066265388</v>
      </c>
      <c r="N492" s="5">
        <f t="shared" si="492"/>
        <v>0.77077675176534488</v>
      </c>
      <c r="O492" s="5">
        <f t="shared" si="502"/>
        <v>3.0873378846119737E-2</v>
      </c>
      <c r="P492" s="2">
        <f t="shared" ref="P492:R492" si="535">(L492/L485)-1</f>
        <v>-2.1850227288529034E-2</v>
      </c>
      <c r="Q492" s="2">
        <f t="shared" si="535"/>
        <v>2.6990051747501687E-2</v>
      </c>
      <c r="R492" s="2">
        <f t="shared" si="535"/>
        <v>-1.1545399205927454E-2</v>
      </c>
      <c r="S492" s="3"/>
    </row>
    <row r="493" spans="3:19" x14ac:dyDescent="0.25">
      <c r="C493" s="1">
        <f t="shared" si="494"/>
        <v>43955</v>
      </c>
      <c r="D493">
        <v>61902</v>
      </c>
      <c r="E493">
        <v>35692</v>
      </c>
      <c r="F493">
        <v>24159</v>
      </c>
      <c r="G493">
        <v>18798</v>
      </c>
      <c r="H493">
        <f>'Total Traffic'!D491-'Page Sessions'!D493</f>
        <v>68557</v>
      </c>
      <c r="I493" s="2">
        <f t="shared" si="489"/>
        <v>0.30367354851216438</v>
      </c>
      <c r="J493" s="2">
        <f t="shared" si="501"/>
        <v>-4.1484811476204309E-2</v>
      </c>
      <c r="K493" s="2">
        <f>D493/'Total Traffic'!D491</f>
        <v>0.4744939022988065</v>
      </c>
      <c r="L493" s="5">
        <f t="shared" si="490"/>
        <v>0.57658880165422766</v>
      </c>
      <c r="M493" s="5">
        <f t="shared" si="491"/>
        <v>0.6768743696066345</v>
      </c>
      <c r="N493" s="5">
        <f t="shared" si="492"/>
        <v>0.77809511983111879</v>
      </c>
      <c r="O493" s="5">
        <f t="shared" si="502"/>
        <v>-2.1044396827026746E-2</v>
      </c>
      <c r="P493" s="2">
        <f t="shared" ref="P493:R493" si="536">(L493/L486)-1</f>
        <v>-3.7549965075012959E-2</v>
      </c>
      <c r="Q493" s="2">
        <f t="shared" si="536"/>
        <v>-1.0103952662284921E-2</v>
      </c>
      <c r="R493" s="2">
        <f t="shared" si="536"/>
        <v>6.0769899416366346E-3</v>
      </c>
      <c r="S493" s="3"/>
    </row>
    <row r="494" spans="3:19" x14ac:dyDescent="0.25">
      <c r="C494" s="1">
        <f t="shared" si="494"/>
        <v>43956</v>
      </c>
      <c r="D494">
        <v>63220</v>
      </c>
      <c r="E494">
        <v>37129</v>
      </c>
      <c r="F494">
        <v>25459</v>
      </c>
      <c r="G494">
        <v>20244</v>
      </c>
      <c r="H494">
        <f>'Total Traffic'!D492-'Page Sessions'!D494</f>
        <v>67562</v>
      </c>
      <c r="I494" s="2">
        <f t="shared" si="489"/>
        <v>0.3202151217968997</v>
      </c>
      <c r="J494" s="2">
        <f t="shared" si="501"/>
        <v>3.092052295974157E-2</v>
      </c>
      <c r="K494" s="2">
        <f>D494/'Total Traffic'!D492</f>
        <v>0.48339985624933096</v>
      </c>
      <c r="L494" s="5">
        <f t="shared" si="490"/>
        <v>0.58729832331540655</v>
      </c>
      <c r="M494" s="5">
        <f t="shared" si="491"/>
        <v>0.68569043066066959</v>
      </c>
      <c r="N494" s="5">
        <f t="shared" si="492"/>
        <v>0.79516084685180088</v>
      </c>
      <c r="O494" s="5">
        <f t="shared" si="502"/>
        <v>2.122565377398189E-4</v>
      </c>
      <c r="P494" s="2">
        <f t="shared" ref="P494:R494" si="537">(L494/L487)-1</f>
        <v>7.7387154336328035E-3</v>
      </c>
      <c r="Q494" s="2">
        <f t="shared" si="537"/>
        <v>6.1708130139837003E-3</v>
      </c>
      <c r="R494" s="2">
        <f t="shared" si="537"/>
        <v>1.672973865574745E-2</v>
      </c>
      <c r="S494" s="3"/>
    </row>
    <row r="495" spans="3:19" x14ac:dyDescent="0.25">
      <c r="C495" s="1">
        <f t="shared" si="494"/>
        <v>43957</v>
      </c>
      <c r="D495">
        <v>63581</v>
      </c>
      <c r="E495">
        <v>37996</v>
      </c>
      <c r="F495">
        <v>26019</v>
      </c>
      <c r="G495">
        <v>20799</v>
      </c>
      <c r="H495">
        <f>'Total Traffic'!D493-'Page Sessions'!D495</f>
        <v>66896</v>
      </c>
      <c r="I495" s="2">
        <f t="shared" si="489"/>
        <v>0.32712602821597647</v>
      </c>
      <c r="J495" s="2">
        <f t="shared" si="501"/>
        <v>4.3688582479257221E-2</v>
      </c>
      <c r="K495" s="2">
        <f>D495/'Total Traffic'!D493</f>
        <v>0.4872966116633583</v>
      </c>
      <c r="L495" s="5">
        <f t="shared" si="490"/>
        <v>0.59759991192337336</v>
      </c>
      <c r="M495" s="5">
        <f t="shared" si="491"/>
        <v>0.68478260869565222</v>
      </c>
      <c r="N495" s="5">
        <f t="shared" si="492"/>
        <v>0.79937737806987197</v>
      </c>
      <c r="O495" s="5">
        <f t="shared" si="502"/>
        <v>-7.5300021085278335E-3</v>
      </c>
      <c r="P495" s="2">
        <f t="shared" ref="P495:R495" si="538">(L495/L488)-1</f>
        <v>-9.9689635361632778E-4</v>
      </c>
      <c r="Q495" s="2">
        <f t="shared" si="538"/>
        <v>7.3589605797772517E-3</v>
      </c>
      <c r="R495" s="2">
        <f t="shared" si="538"/>
        <v>3.7098105997234621E-2</v>
      </c>
      <c r="S495" s="3"/>
    </row>
    <row r="496" spans="3:19" x14ac:dyDescent="0.25">
      <c r="C496" s="1">
        <f t="shared" si="494"/>
        <v>43958</v>
      </c>
      <c r="D496">
        <v>61361</v>
      </c>
      <c r="E496">
        <v>36540</v>
      </c>
      <c r="F496">
        <v>25329</v>
      </c>
      <c r="G496">
        <v>20035</v>
      </c>
      <c r="H496">
        <f>'Total Traffic'!D494-'Page Sessions'!D496</f>
        <v>68752</v>
      </c>
      <c r="I496" s="2">
        <f t="shared" si="489"/>
        <v>0.32651032414725967</v>
      </c>
      <c r="J496" s="2">
        <f t="shared" si="501"/>
        <v>3.5602235465602261E-2</v>
      </c>
      <c r="K496" s="2">
        <f>D496/'Total Traffic'!D494</f>
        <v>0.47159776501963679</v>
      </c>
      <c r="L496" s="5">
        <f t="shared" si="490"/>
        <v>0.59549225077818158</v>
      </c>
      <c r="M496" s="5">
        <f t="shared" si="491"/>
        <v>0.69318555008210181</v>
      </c>
      <c r="N496" s="5">
        <f t="shared" si="492"/>
        <v>0.79099056417545111</v>
      </c>
      <c r="O496" s="5">
        <f t="shared" si="502"/>
        <v>-1.56554815885801E-2</v>
      </c>
      <c r="P496" s="2">
        <f t="shared" ref="P496:R496" si="539">(L496/L489)-1</f>
        <v>3.438965310234976E-2</v>
      </c>
      <c r="Q496" s="2">
        <f t="shared" si="539"/>
        <v>1.0033631410967025E-2</v>
      </c>
      <c r="R496" s="2">
        <f t="shared" si="539"/>
        <v>-8.7733345482141623E-3</v>
      </c>
      <c r="S496" s="3"/>
    </row>
    <row r="497" spans="3:19" x14ac:dyDescent="0.25">
      <c r="C497" s="1">
        <f t="shared" si="494"/>
        <v>43959</v>
      </c>
      <c r="D497">
        <v>61678</v>
      </c>
      <c r="E497">
        <v>36365</v>
      </c>
      <c r="F497">
        <v>24586</v>
      </c>
      <c r="G497">
        <v>18931</v>
      </c>
      <c r="H497">
        <f>'Total Traffic'!D495-'Page Sessions'!D497</f>
        <v>69275</v>
      </c>
      <c r="I497" s="2">
        <f t="shared" si="489"/>
        <v>0.30693277992152795</v>
      </c>
      <c r="J497" s="2">
        <f t="shared" si="501"/>
        <v>4.8944380950155519E-5</v>
      </c>
      <c r="K497" s="2">
        <f>D497/'Total Traffic'!D495</f>
        <v>0.47099340984933524</v>
      </c>
      <c r="L497" s="5">
        <f t="shared" si="490"/>
        <v>0.58959434482311357</v>
      </c>
      <c r="M497" s="5">
        <f t="shared" si="491"/>
        <v>0.67608964663825111</v>
      </c>
      <c r="N497" s="5">
        <f t="shared" si="492"/>
        <v>0.7699910518181079</v>
      </c>
      <c r="O497" s="5">
        <f t="shared" si="502"/>
        <v>-2.0178225509557723E-2</v>
      </c>
      <c r="P497" s="2">
        <f t="shared" ref="P497:R497" si="540">(L497/L490)-1</f>
        <v>3.004644549134472E-2</v>
      </c>
      <c r="Q497" s="2">
        <f t="shared" si="540"/>
        <v>-2.8871232417541748E-2</v>
      </c>
      <c r="R497" s="2">
        <f t="shared" si="540"/>
        <v>-2.5871116722830934E-4</v>
      </c>
      <c r="S497" s="3"/>
    </row>
    <row r="498" spans="3:19" x14ac:dyDescent="0.25">
      <c r="C498" s="1">
        <f t="shared" si="494"/>
        <v>43960</v>
      </c>
      <c r="D498">
        <v>64767</v>
      </c>
      <c r="E498">
        <v>37169</v>
      </c>
      <c r="F498">
        <v>25449</v>
      </c>
      <c r="G498">
        <v>19949</v>
      </c>
      <c r="H498">
        <f>'Total Traffic'!D496-'Page Sessions'!D498</f>
        <v>65892</v>
      </c>
      <c r="I498" s="2">
        <f t="shared" si="489"/>
        <v>0.30801179613074559</v>
      </c>
      <c r="J498" s="2">
        <f t="shared" si="501"/>
        <v>-6.3562612026428766E-3</v>
      </c>
      <c r="K498" s="2">
        <f>D498/'Total Traffic'!D496</f>
        <v>0.49569490046609876</v>
      </c>
      <c r="L498" s="5">
        <f t="shared" si="490"/>
        <v>0.57388793675791683</v>
      </c>
      <c r="M498" s="5">
        <f t="shared" si="491"/>
        <v>0.6846834727864618</v>
      </c>
      <c r="N498" s="5">
        <f t="shared" si="492"/>
        <v>0.78388148846713035</v>
      </c>
      <c r="O498" s="5">
        <f t="shared" si="502"/>
        <v>3.6376731980691357E-2</v>
      </c>
      <c r="P498" s="2">
        <f t="shared" ref="P498:R498" si="541">(L498/L491)-1</f>
        <v>-7.0908258655416612E-3</v>
      </c>
      <c r="Q498" s="2">
        <f t="shared" si="541"/>
        <v>1.7679966280144122E-3</v>
      </c>
      <c r="R498" s="2">
        <f t="shared" si="541"/>
        <v>-1.0263714761610254E-3</v>
      </c>
      <c r="S498" s="3"/>
    </row>
    <row r="499" spans="3:19" x14ac:dyDescent="0.25">
      <c r="C499" s="1">
        <f t="shared" si="494"/>
        <v>43961</v>
      </c>
      <c r="D499">
        <v>64391</v>
      </c>
      <c r="E499">
        <v>38125</v>
      </c>
      <c r="F499">
        <v>26382</v>
      </c>
      <c r="G499">
        <v>20767</v>
      </c>
      <c r="H499">
        <f>'Total Traffic'!D497-'Page Sessions'!D499</f>
        <v>65904</v>
      </c>
      <c r="I499" s="2">
        <f t="shared" si="489"/>
        <v>0.32251401593390383</v>
      </c>
      <c r="J499" s="2">
        <f t="shared" si="501"/>
        <v>5.5467946840170201E-2</v>
      </c>
      <c r="K499" s="2">
        <f>D499/'Total Traffic'!D497</f>
        <v>0.49419394451053378</v>
      </c>
      <c r="L499" s="5">
        <f t="shared" si="490"/>
        <v>0.59208585050705842</v>
      </c>
      <c r="M499" s="5">
        <f t="shared" si="491"/>
        <v>0.69198688524590168</v>
      </c>
      <c r="N499" s="5">
        <f t="shared" si="492"/>
        <v>0.78716549162307636</v>
      </c>
      <c r="O499" s="5">
        <f t="shared" si="502"/>
        <v>-6.6332289896009478E-3</v>
      </c>
      <c r="P499" s="2">
        <f t="shared" ref="P499:R499" si="542">(L499/L492)-1</f>
        <v>3.439215039678345E-2</v>
      </c>
      <c r="Q499" s="2">
        <f t="shared" si="542"/>
        <v>-8.6909491964837216E-4</v>
      </c>
      <c r="R499" s="2">
        <f t="shared" si="542"/>
        <v>2.126262866672568E-2</v>
      </c>
      <c r="S499" s="3"/>
    </row>
    <row r="500" spans="3:19" x14ac:dyDescent="0.25">
      <c r="C500" s="1">
        <f t="shared" si="494"/>
        <v>43962</v>
      </c>
      <c r="D500">
        <v>64757</v>
      </c>
      <c r="E500">
        <v>38795</v>
      </c>
      <c r="F500">
        <v>27098</v>
      </c>
      <c r="G500">
        <v>20911</v>
      </c>
      <c r="H500">
        <f>'Total Traffic'!D498-'Page Sessions'!D500</f>
        <v>65881</v>
      </c>
      <c r="I500" s="2">
        <f t="shared" si="489"/>
        <v>0.32291489723118738</v>
      </c>
      <c r="J500" s="2">
        <f t="shared" si="501"/>
        <v>6.3361951718531762E-2</v>
      </c>
      <c r="K500" s="2">
        <f>D500/'Total Traffic'!D498</f>
        <v>0.49569803579356697</v>
      </c>
      <c r="L500" s="5">
        <f t="shared" si="490"/>
        <v>0.5990858131167287</v>
      </c>
      <c r="M500" s="5">
        <f t="shared" si="491"/>
        <v>0.69849207372084032</v>
      </c>
      <c r="N500" s="5">
        <f t="shared" si="492"/>
        <v>0.77168056683150044</v>
      </c>
      <c r="O500" s="5">
        <f t="shared" si="502"/>
        <v>4.4687894601029843E-2</v>
      </c>
      <c r="P500" s="2">
        <f t="shared" ref="P500:R500" si="543">(L500/L493)-1</f>
        <v>3.9017426973880331E-2</v>
      </c>
      <c r="Q500" s="2">
        <f t="shared" si="543"/>
        <v>3.193754274780547E-2</v>
      </c>
      <c r="R500" s="2">
        <f t="shared" si="543"/>
        <v>-8.2439188167773292E-3</v>
      </c>
      <c r="S500" s="3"/>
    </row>
    <row r="501" spans="3:19" x14ac:dyDescent="0.25">
      <c r="C501" s="1">
        <f t="shared" si="494"/>
        <v>43963</v>
      </c>
      <c r="D501">
        <v>63284</v>
      </c>
      <c r="E501">
        <v>36445</v>
      </c>
      <c r="F501">
        <v>25234</v>
      </c>
      <c r="G501">
        <v>19624</v>
      </c>
      <c r="H501">
        <f>'Total Traffic'!D499-'Page Sessions'!D501</f>
        <v>67686</v>
      </c>
      <c r="I501" s="2">
        <f t="shared" si="489"/>
        <v>0.3100941786233487</v>
      </c>
      <c r="J501" s="2">
        <f t="shared" si="501"/>
        <v>-3.1606699636035129E-2</v>
      </c>
      <c r="K501" s="2">
        <f>D501/'Total Traffic'!D499</f>
        <v>0.48319462472321906</v>
      </c>
      <c r="L501" s="5">
        <f t="shared" si="490"/>
        <v>0.5758959610644081</v>
      </c>
      <c r="M501" s="5">
        <f t="shared" si="491"/>
        <v>0.69238578680203045</v>
      </c>
      <c r="N501" s="5">
        <f t="shared" si="492"/>
        <v>0.77768090671316481</v>
      </c>
      <c r="O501" s="5">
        <f t="shared" si="502"/>
        <v>-4.2455851705103242E-4</v>
      </c>
      <c r="P501" s="2">
        <f t="shared" ref="P501:R501" si="544">(L501/L494)-1</f>
        <v>-1.9414940922408919E-2</v>
      </c>
      <c r="Q501" s="2">
        <f t="shared" si="544"/>
        <v>9.7644007295096813E-3</v>
      </c>
      <c r="R501" s="2">
        <f t="shared" si="544"/>
        <v>-2.1982898438526743E-2</v>
      </c>
      <c r="S501" s="3"/>
    </row>
    <row r="502" spans="3:19" x14ac:dyDescent="0.25">
      <c r="C502" s="1">
        <f t="shared" si="494"/>
        <v>43964</v>
      </c>
      <c r="D502">
        <v>64071</v>
      </c>
      <c r="E502">
        <v>36687</v>
      </c>
      <c r="F502">
        <v>25141</v>
      </c>
      <c r="G502">
        <v>19846</v>
      </c>
      <c r="H502">
        <f>'Total Traffic'!D500-'Page Sessions'!D502</f>
        <v>66420</v>
      </c>
      <c r="I502" s="2">
        <f t="shared" si="489"/>
        <v>0.3097501209595605</v>
      </c>
      <c r="J502" s="2">
        <f t="shared" si="501"/>
        <v>-5.3116859429308327E-2</v>
      </c>
      <c r="K502" s="2">
        <f>D502/'Total Traffic'!D500</f>
        <v>0.49099937926753567</v>
      </c>
      <c r="L502" s="5">
        <f t="shared" si="490"/>
        <v>0.57259914782038679</v>
      </c>
      <c r="M502" s="5">
        <f t="shared" si="491"/>
        <v>0.68528361544961436</v>
      </c>
      <c r="N502" s="5">
        <f t="shared" si="492"/>
        <v>0.7893878525118333</v>
      </c>
      <c r="O502" s="5">
        <f t="shared" si="502"/>
        <v>7.5985909106532912E-3</v>
      </c>
      <c r="P502" s="2">
        <f t="shared" ref="P502:R502" si="545">(L502/L495)-1</f>
        <v>-4.1835287462679949E-2</v>
      </c>
      <c r="Q502" s="2">
        <f t="shared" si="545"/>
        <v>7.3162891054789903E-4</v>
      </c>
      <c r="R502" s="2">
        <f t="shared" si="545"/>
        <v>-1.2496632794586682E-2</v>
      </c>
      <c r="S502" s="3"/>
    </row>
    <row r="503" spans="3:19" x14ac:dyDescent="0.25">
      <c r="C503" s="1">
        <f t="shared" si="494"/>
        <v>43965</v>
      </c>
      <c r="D503">
        <v>64401</v>
      </c>
      <c r="E503">
        <v>38640</v>
      </c>
      <c r="F503">
        <v>26823</v>
      </c>
      <c r="G503">
        <v>21133</v>
      </c>
      <c r="H503">
        <f>'Total Traffic'!D501-'Page Sessions'!D503</f>
        <v>66602</v>
      </c>
      <c r="I503" s="2">
        <f t="shared" si="489"/>
        <v>0.32814707846151459</v>
      </c>
      <c r="J503" s="2">
        <f t="shared" si="501"/>
        <v>5.0128715486397191E-3</v>
      </c>
      <c r="K503" s="2">
        <f>D503/'Total Traffic'!D501</f>
        <v>0.49159942902070947</v>
      </c>
      <c r="L503" s="5">
        <f t="shared" si="490"/>
        <v>0.5999906833744818</v>
      </c>
      <c r="M503" s="5">
        <f t="shared" si="491"/>
        <v>0.69417701863354042</v>
      </c>
      <c r="N503" s="5">
        <f t="shared" si="492"/>
        <v>0.7878686202139954</v>
      </c>
      <c r="O503" s="5">
        <f t="shared" si="502"/>
        <v>4.2412550450148689E-2</v>
      </c>
      <c r="P503" s="2">
        <f t="shared" ref="P503:R503" si="546">(L503/L496)-1</f>
        <v>7.5541412846626965E-3</v>
      </c>
      <c r="Q503" s="2">
        <f t="shared" si="546"/>
        <v>1.4303075869386284E-3</v>
      </c>
      <c r="R503" s="2">
        <f t="shared" si="546"/>
        <v>-3.9468788919246878E-3</v>
      </c>
      <c r="S503" s="3"/>
    </row>
    <row r="504" spans="3:19" x14ac:dyDescent="0.25">
      <c r="C504" s="1">
        <f t="shared" si="494"/>
        <v>43966</v>
      </c>
      <c r="D504">
        <v>64097</v>
      </c>
      <c r="E504">
        <v>38035</v>
      </c>
      <c r="F504">
        <v>26609</v>
      </c>
      <c r="G504">
        <v>21023</v>
      </c>
      <c r="H504">
        <f>'Total Traffic'!D502-'Page Sessions'!D504</f>
        <v>66580</v>
      </c>
      <c r="I504" s="2">
        <f t="shared" si="489"/>
        <v>0.32798726929497479</v>
      </c>
      <c r="J504" s="2">
        <f t="shared" si="501"/>
        <v>6.8596418338991771E-2</v>
      </c>
      <c r="K504" s="2">
        <f>D504/'Total Traffic'!D502</f>
        <v>0.49049947580676018</v>
      </c>
      <c r="L504" s="5">
        <f t="shared" si="490"/>
        <v>0.59339750690359927</v>
      </c>
      <c r="M504" s="5">
        <f t="shared" si="491"/>
        <v>0.69959248060996448</v>
      </c>
      <c r="N504" s="5">
        <f t="shared" si="492"/>
        <v>0.79007102859934608</v>
      </c>
      <c r="O504" s="5">
        <f t="shared" si="502"/>
        <v>4.1414732243630903E-2</v>
      </c>
      <c r="P504" s="2">
        <f t="shared" ref="P504:R504" si="547">(L504/L497)-1</f>
        <v>6.4504724542884251E-3</v>
      </c>
      <c r="Q504" s="2">
        <f t="shared" si="547"/>
        <v>3.4762895850539266E-2</v>
      </c>
      <c r="R504" s="2">
        <f t="shared" si="547"/>
        <v>2.607819497879249E-2</v>
      </c>
      <c r="S504" s="3"/>
    </row>
    <row r="505" spans="3:19" x14ac:dyDescent="0.25">
      <c r="C505" s="1">
        <f t="shared" si="494"/>
        <v>43967</v>
      </c>
      <c r="D505">
        <v>63088</v>
      </c>
      <c r="E505">
        <v>37840</v>
      </c>
      <c r="F505">
        <v>26003</v>
      </c>
      <c r="G505">
        <v>20245</v>
      </c>
      <c r="H505">
        <f>'Total Traffic'!D503-'Page Sessions'!D505</f>
        <v>67261</v>
      </c>
      <c r="I505" s="2">
        <f t="shared" si="489"/>
        <v>0.3209009637331981</v>
      </c>
      <c r="J505" s="2">
        <f t="shared" si="501"/>
        <v>4.1846344082813181E-2</v>
      </c>
      <c r="K505" s="2">
        <f>D505/'Total Traffic'!D503</f>
        <v>0.48399297271172009</v>
      </c>
      <c r="L505" s="5">
        <f t="shared" si="490"/>
        <v>0.59979710880040582</v>
      </c>
      <c r="M505" s="5">
        <f t="shared" si="491"/>
        <v>0.68718287526427058</v>
      </c>
      <c r="N505" s="5">
        <f t="shared" si="492"/>
        <v>0.77856401184478718</v>
      </c>
      <c r="O505" s="5">
        <f t="shared" si="502"/>
        <v>-2.3607117489761187E-2</v>
      </c>
      <c r="P505" s="2">
        <f t="shared" ref="P505:R505" si="548">(L505/L498)-1</f>
        <v>4.5146744482657208E-2</v>
      </c>
      <c r="Q505" s="2">
        <f t="shared" si="548"/>
        <v>3.6504495539186887E-3</v>
      </c>
      <c r="R505" s="2">
        <f t="shared" si="548"/>
        <v>-6.7835211069232626E-3</v>
      </c>
      <c r="S505" s="3"/>
    </row>
    <row r="506" spans="3:19" x14ac:dyDescent="0.25">
      <c r="C506" s="1">
        <f t="shared" si="494"/>
        <v>43968</v>
      </c>
      <c r="D506">
        <v>61594</v>
      </c>
      <c r="E506">
        <v>35521</v>
      </c>
      <c r="F506">
        <v>24264</v>
      </c>
      <c r="G506">
        <v>18697</v>
      </c>
      <c r="H506">
        <f>'Total Traffic'!D504-'Page Sessions'!D506</f>
        <v>68516</v>
      </c>
      <c r="I506" s="2">
        <f t="shared" si="489"/>
        <v>0.3035522940546157</v>
      </c>
      <c r="J506" s="2">
        <f t="shared" si="501"/>
        <v>-5.8793481654993096E-2</v>
      </c>
      <c r="K506" s="2">
        <f>D506/'Total Traffic'!D504</f>
        <v>0.47339943125048034</v>
      </c>
      <c r="L506" s="5">
        <f t="shared" si="490"/>
        <v>0.57669578205669381</v>
      </c>
      <c r="M506" s="5">
        <f t="shared" si="491"/>
        <v>0.68308887700233667</v>
      </c>
      <c r="N506" s="5">
        <f t="shared" si="492"/>
        <v>0.77056544675239036</v>
      </c>
      <c r="O506" s="5">
        <f t="shared" si="502"/>
        <v>-4.2077636707283039E-2</v>
      </c>
      <c r="P506" s="2">
        <f t="shared" ref="P506:R506" si="549">(L506/L499)-1</f>
        <v>-2.599296780557192E-2</v>
      </c>
      <c r="Q506" s="2">
        <f t="shared" si="549"/>
        <v>-1.285863711189128E-2</v>
      </c>
      <c r="R506" s="2">
        <f t="shared" si="549"/>
        <v>-2.1088379822720604E-2</v>
      </c>
      <c r="S506" s="3"/>
    </row>
    <row r="507" spans="3:19" x14ac:dyDescent="0.25">
      <c r="C507" s="1">
        <f t="shared" si="494"/>
        <v>43969</v>
      </c>
      <c r="D507">
        <v>65023</v>
      </c>
      <c r="E507">
        <v>37277</v>
      </c>
      <c r="F507">
        <v>25001</v>
      </c>
      <c r="G507">
        <v>19323</v>
      </c>
      <c r="H507">
        <f>'Total Traffic'!D505-'Page Sessions'!D507</f>
        <v>65441</v>
      </c>
      <c r="I507" s="2">
        <f t="shared" si="489"/>
        <v>0.29717176998908079</v>
      </c>
      <c r="J507" s="2">
        <f t="shared" si="501"/>
        <v>-7.9721088939653573E-2</v>
      </c>
      <c r="K507" s="2">
        <f>D507/'Total Traffic'!D505</f>
        <v>0.49839802550895268</v>
      </c>
      <c r="L507" s="5">
        <f t="shared" si="490"/>
        <v>0.57328945142488041</v>
      </c>
      <c r="M507" s="5">
        <f t="shared" si="491"/>
        <v>0.67068165356654241</v>
      </c>
      <c r="N507" s="5">
        <f t="shared" si="492"/>
        <v>0.77288908443662252</v>
      </c>
      <c r="O507" s="5">
        <f t="shared" si="502"/>
        <v>5.4468436839036904E-3</v>
      </c>
      <c r="P507" s="2">
        <f t="shared" ref="P507:R507" si="550">(L507/L500)-1</f>
        <v>-4.3059543603016337E-2</v>
      </c>
      <c r="Q507" s="2">
        <f t="shared" si="550"/>
        <v>-3.9814940212782757E-2</v>
      </c>
      <c r="R507" s="2">
        <f t="shared" si="550"/>
        <v>1.5660853169909839E-3</v>
      </c>
      <c r="S507" s="3"/>
    </row>
    <row r="508" spans="3:19" x14ac:dyDescent="0.25">
      <c r="C508" s="1">
        <f t="shared" si="494"/>
        <v>43970</v>
      </c>
      <c r="D508">
        <v>62374</v>
      </c>
      <c r="E508">
        <v>36831</v>
      </c>
      <c r="F508">
        <v>25255</v>
      </c>
      <c r="G508">
        <v>19777</v>
      </c>
      <c r="H508">
        <f>'Total Traffic'!D506-'Page Sessions'!D508</f>
        <v>68254</v>
      </c>
      <c r="I508" s="2">
        <f t="shared" si="489"/>
        <v>0.31707121557059031</v>
      </c>
      <c r="J508" s="2">
        <f t="shared" si="501"/>
        <v>2.2499735332716986E-2</v>
      </c>
      <c r="K508" s="2">
        <f>D508/'Total Traffic'!D506</f>
        <v>0.47749333986587866</v>
      </c>
      <c r="L508" s="5">
        <f t="shared" si="490"/>
        <v>0.59048642062397794</v>
      </c>
      <c r="M508" s="5">
        <f t="shared" si="491"/>
        <v>0.68569954657761123</v>
      </c>
      <c r="N508" s="5">
        <f t="shared" si="492"/>
        <v>0.78309245693921992</v>
      </c>
      <c r="O508" s="5">
        <f t="shared" si="502"/>
        <v>-1.1799147932587517E-2</v>
      </c>
      <c r="P508" s="2">
        <f t="shared" ref="P508:R508" si="551">(L508/L501)-1</f>
        <v>2.5335235087606378E-2</v>
      </c>
      <c r="Q508" s="2">
        <f t="shared" si="551"/>
        <v>-9.6568132273503471E-3</v>
      </c>
      <c r="R508" s="2">
        <f t="shared" si="551"/>
        <v>6.9585741135484991E-3</v>
      </c>
      <c r="S508" s="3"/>
    </row>
    <row r="509" spans="3:19" x14ac:dyDescent="0.25">
      <c r="C509" s="1">
        <f t="shared" si="494"/>
        <v>43971</v>
      </c>
      <c r="D509">
        <v>64018</v>
      </c>
      <c r="E509">
        <v>37821</v>
      </c>
      <c r="F509">
        <v>26452</v>
      </c>
      <c r="G509">
        <v>20780</v>
      </c>
      <c r="H509">
        <f>'Total Traffic'!D507-'Page Sessions'!D509</f>
        <v>67007</v>
      </c>
      <c r="I509" s="2">
        <f t="shared" si="489"/>
        <v>0.3245962073166922</v>
      </c>
      <c r="J509" s="2">
        <f t="shared" si="501"/>
        <v>4.7929235059346098E-2</v>
      </c>
      <c r="K509" s="2">
        <f>D509/'Total Traffic'!D507</f>
        <v>0.48859377981301277</v>
      </c>
      <c r="L509" s="5">
        <f t="shared" si="490"/>
        <v>0.59078696616576587</v>
      </c>
      <c r="M509" s="5">
        <f t="shared" si="491"/>
        <v>0.69939980434150339</v>
      </c>
      <c r="N509" s="5">
        <f t="shared" si="492"/>
        <v>0.78557386965068798</v>
      </c>
      <c r="O509" s="5">
        <f t="shared" si="502"/>
        <v>-4.8993940850017292E-3</v>
      </c>
      <c r="P509" s="2">
        <f t="shared" ref="P509:R509" si="552">(L509/L502)-1</f>
        <v>3.1763614065112522E-2</v>
      </c>
      <c r="Q509" s="2">
        <f t="shared" si="552"/>
        <v>2.0599046254195619E-2</v>
      </c>
      <c r="R509" s="2">
        <f t="shared" si="552"/>
        <v>-4.831570246500827E-3</v>
      </c>
      <c r="S509" s="3"/>
    </row>
    <row r="510" spans="3:19" x14ac:dyDescent="0.25">
      <c r="C510" s="1">
        <f t="shared" si="494"/>
        <v>43972</v>
      </c>
      <c r="D510">
        <v>63737</v>
      </c>
      <c r="E510">
        <v>36954</v>
      </c>
      <c r="F510">
        <v>25431</v>
      </c>
      <c r="G510">
        <v>19904</v>
      </c>
      <c r="H510">
        <f>'Total Traffic'!D508-'Page Sessions'!D510</f>
        <v>66845</v>
      </c>
      <c r="I510" s="2">
        <f t="shared" si="489"/>
        <v>0.31228328914131509</v>
      </c>
      <c r="J510" s="2">
        <f t="shared" si="501"/>
        <v>-4.8343533620885282E-2</v>
      </c>
      <c r="K510" s="2">
        <f>D510/'Total Traffic'!D508</f>
        <v>0.4880994317746703</v>
      </c>
      <c r="L510" s="5">
        <f t="shared" si="490"/>
        <v>0.57978881968087614</v>
      </c>
      <c r="M510" s="5">
        <f t="shared" si="491"/>
        <v>0.68817989933430757</v>
      </c>
      <c r="N510" s="5">
        <f t="shared" si="492"/>
        <v>0.78266682395501552</v>
      </c>
      <c r="O510" s="5">
        <f t="shared" si="502"/>
        <v>-7.1196121057571782E-3</v>
      </c>
      <c r="P510" s="2">
        <f t="shared" ref="P510:R510" si="553">(L510/L503)-1</f>
        <v>-3.3670295645235493E-2</v>
      </c>
      <c r="Q510" s="2">
        <f t="shared" si="553"/>
        <v>-8.6391786795794179E-3</v>
      </c>
      <c r="R510" s="2">
        <f t="shared" si="553"/>
        <v>-6.6023650714340798E-3</v>
      </c>
      <c r="S510" s="3"/>
    </row>
    <row r="511" spans="3:19" x14ac:dyDescent="0.25">
      <c r="C511" s="1">
        <f t="shared" si="494"/>
        <v>43973</v>
      </c>
      <c r="D511">
        <v>65423</v>
      </c>
      <c r="E511">
        <v>37794</v>
      </c>
      <c r="F511">
        <v>25631</v>
      </c>
      <c r="G511">
        <v>20117</v>
      </c>
      <c r="H511">
        <f>'Total Traffic'!D509-'Page Sessions'!D511</f>
        <v>65660</v>
      </c>
      <c r="I511" s="2">
        <f t="shared" si="489"/>
        <v>0.30749124925484922</v>
      </c>
      <c r="J511" s="2">
        <f t="shared" si="501"/>
        <v>-6.2490291419489585E-2</v>
      </c>
      <c r="K511" s="2">
        <f>D511/'Total Traffic'!D509</f>
        <v>0.49909599261536586</v>
      </c>
      <c r="L511" s="5">
        <f t="shared" si="490"/>
        <v>0.57768674625131833</v>
      </c>
      <c r="M511" s="5">
        <f t="shared" si="491"/>
        <v>0.67817643012118323</v>
      </c>
      <c r="N511" s="5">
        <f t="shared" si="492"/>
        <v>0.78486988412469272</v>
      </c>
      <c r="O511" s="5">
        <f t="shared" si="502"/>
        <v>1.7526046882040625E-2</v>
      </c>
      <c r="P511" s="2">
        <f t="shared" ref="P511:R511" si="554">(L511/L504)-1</f>
        <v>-2.6475946510562731E-2</v>
      </c>
      <c r="Q511" s="2">
        <f t="shared" si="554"/>
        <v>-3.0612179350625546E-2</v>
      </c>
      <c r="R511" s="2">
        <f t="shared" si="554"/>
        <v>-6.5831352959164757E-3</v>
      </c>
      <c r="S511" s="3"/>
    </row>
    <row r="512" spans="3:19" x14ac:dyDescent="0.25">
      <c r="C512" s="1">
        <f t="shared" si="494"/>
        <v>43974</v>
      </c>
      <c r="D512">
        <v>63678</v>
      </c>
      <c r="E512">
        <v>38206</v>
      </c>
      <c r="F512">
        <v>26381</v>
      </c>
      <c r="G512">
        <v>20859</v>
      </c>
      <c r="H512">
        <f>'Total Traffic'!D510-'Page Sessions'!D512</f>
        <v>67052</v>
      </c>
      <c r="I512" s="2">
        <f t="shared" si="489"/>
        <v>0.32756996136813343</v>
      </c>
      <c r="J512" s="2">
        <f t="shared" si="501"/>
        <v>2.0782105349113289E-2</v>
      </c>
      <c r="K512" s="2">
        <f>D512/'Total Traffic'!D510</f>
        <v>0.48709554042683395</v>
      </c>
      <c r="L512" s="5">
        <f t="shared" si="490"/>
        <v>0.59998743679135647</v>
      </c>
      <c r="M512" s="5">
        <f t="shared" si="491"/>
        <v>0.69049363974244882</v>
      </c>
      <c r="N512" s="5">
        <f t="shared" si="492"/>
        <v>0.79068268829839661</v>
      </c>
      <c r="O512" s="5">
        <f t="shared" si="502"/>
        <v>6.4103569473970001E-3</v>
      </c>
      <c r="P512" s="2">
        <f t="shared" ref="P512:R512" si="555">(L512/L505)-1</f>
        <v>3.1732062085354507E-4</v>
      </c>
      <c r="Q512" s="2">
        <f t="shared" si="555"/>
        <v>4.8178797774973692E-3</v>
      </c>
      <c r="R512" s="2">
        <f t="shared" si="555"/>
        <v>1.5565420786525452E-2</v>
      </c>
      <c r="S512" s="3"/>
    </row>
    <row r="513" spans="3:19" x14ac:dyDescent="0.25">
      <c r="C513" s="1">
        <f t="shared" si="494"/>
        <v>43975</v>
      </c>
      <c r="D513">
        <v>64464</v>
      </c>
      <c r="E513">
        <v>38265</v>
      </c>
      <c r="F513">
        <v>25893</v>
      </c>
      <c r="G513">
        <v>20408</v>
      </c>
      <c r="H513">
        <f>'Total Traffic'!D511-'Page Sessions'!D513</f>
        <v>66163</v>
      </c>
      <c r="I513" s="2">
        <f t="shared" si="489"/>
        <v>0.31657979647555223</v>
      </c>
      <c r="J513" s="2">
        <f t="shared" si="501"/>
        <v>4.2916830727665722E-2</v>
      </c>
      <c r="K513" s="2">
        <f>D513/'Total Traffic'!D511</f>
        <v>0.49349675028899082</v>
      </c>
      <c r="L513" s="5">
        <f t="shared" si="490"/>
        <v>0.59358711839166045</v>
      </c>
      <c r="M513" s="5">
        <f t="shared" si="491"/>
        <v>0.67667581340650729</v>
      </c>
      <c r="N513" s="5">
        <f t="shared" si="492"/>
        <v>0.78816668597690498</v>
      </c>
      <c r="O513" s="5">
        <f t="shared" si="502"/>
        <v>4.24531964168684E-2</v>
      </c>
      <c r="P513" s="2">
        <f t="shared" ref="P513:R513" si="556">(L513/L506)-1</f>
        <v>2.9289855865992864E-2</v>
      </c>
      <c r="Q513" s="2">
        <f t="shared" si="556"/>
        <v>-9.3883297060441961E-3</v>
      </c>
      <c r="R513" s="2">
        <f t="shared" si="556"/>
        <v>2.2841978314361855E-2</v>
      </c>
      <c r="S513" s="3"/>
    </row>
    <row r="514" spans="3:19" x14ac:dyDescent="0.25">
      <c r="C514" s="1">
        <f t="shared" si="494"/>
        <v>43976</v>
      </c>
      <c r="D514">
        <v>63374</v>
      </c>
      <c r="E514">
        <v>36389</v>
      </c>
      <c r="F514">
        <v>24558</v>
      </c>
      <c r="G514">
        <v>19015</v>
      </c>
      <c r="H514">
        <f>'Total Traffic'!D512-'Page Sessions'!D514</f>
        <v>67026</v>
      </c>
      <c r="I514" s="2">
        <f t="shared" si="489"/>
        <v>0.30004418215672041</v>
      </c>
      <c r="J514" s="2">
        <f t="shared" si="501"/>
        <v>9.6658312051147721E-3</v>
      </c>
      <c r="K514" s="2">
        <f>D514/'Total Traffic'!D512</f>
        <v>0.48599693251533743</v>
      </c>
      <c r="L514" s="5">
        <f t="shared" si="490"/>
        <v>0.57419446460693657</v>
      </c>
      <c r="M514" s="5">
        <f t="shared" si="491"/>
        <v>0.67487427519305287</v>
      </c>
      <c r="N514" s="5">
        <f t="shared" si="492"/>
        <v>0.77428943725059041</v>
      </c>
      <c r="O514" s="5">
        <f t="shared" si="502"/>
        <v>-2.4881906345739502E-2</v>
      </c>
      <c r="P514" s="2">
        <f t="shared" ref="P514:R514" si="557">(L514/L507)-1</f>
        <v>1.5786321897373057E-3</v>
      </c>
      <c r="Q514" s="2">
        <f t="shared" si="557"/>
        <v>6.2512842034889715E-3</v>
      </c>
      <c r="R514" s="2">
        <f t="shared" si="557"/>
        <v>1.8118418828345639E-3</v>
      </c>
      <c r="S514" s="3"/>
    </row>
    <row r="515" spans="3:19" x14ac:dyDescent="0.25">
      <c r="C515" s="1">
        <f t="shared" si="494"/>
        <v>43977</v>
      </c>
      <c r="D515">
        <v>65260</v>
      </c>
      <c r="E515">
        <v>39149</v>
      </c>
      <c r="F515">
        <v>26711</v>
      </c>
      <c r="G515">
        <v>20746</v>
      </c>
      <c r="H515">
        <f>'Total Traffic'!D513-'Page Sessions'!D515</f>
        <v>65653</v>
      </c>
      <c r="I515" s="2">
        <f t="shared" si="489"/>
        <v>0.31789764020839717</v>
      </c>
      <c r="J515" s="2">
        <f t="shared" si="501"/>
        <v>2.6064322373748894E-3</v>
      </c>
      <c r="K515" s="2">
        <f>D515/'Total Traffic'!D513</f>
        <v>0.49849900315476692</v>
      </c>
      <c r="L515" s="5">
        <f t="shared" si="490"/>
        <v>0.59989273674532639</v>
      </c>
      <c r="M515" s="5">
        <f t="shared" si="491"/>
        <v>0.68229073539554008</v>
      </c>
      <c r="N515" s="5">
        <f t="shared" si="492"/>
        <v>0.77668376324360755</v>
      </c>
      <c r="O515" s="5">
        <f t="shared" si="502"/>
        <v>4.3991531473064116E-2</v>
      </c>
      <c r="P515" s="2">
        <f t="shared" ref="P515:R515" si="558">(L515/L508)-1</f>
        <v>1.5929775508484401E-2</v>
      </c>
      <c r="Q515" s="2">
        <f t="shared" si="558"/>
        <v>-4.9712898296124797E-3</v>
      </c>
      <c r="R515" s="2">
        <f t="shared" si="558"/>
        <v>-8.1838276423467082E-3</v>
      </c>
      <c r="S515" s="3"/>
    </row>
    <row r="516" spans="3:19" x14ac:dyDescent="0.25">
      <c r="C516" s="1">
        <f t="shared" si="494"/>
        <v>43978</v>
      </c>
      <c r="D516">
        <v>64102</v>
      </c>
      <c r="E516">
        <v>36781</v>
      </c>
      <c r="F516">
        <v>24845</v>
      </c>
      <c r="G516">
        <v>19426</v>
      </c>
      <c r="H516">
        <f>'Total Traffic'!D514-'Page Sessions'!D516</f>
        <v>66853</v>
      </c>
      <c r="I516" s="2">
        <f t="shared" si="489"/>
        <v>0.30304826682474806</v>
      </c>
      <c r="J516" s="2">
        <f t="shared" si="501"/>
        <v>-6.6383833224893163E-2</v>
      </c>
      <c r="K516" s="2">
        <f>D516/'Total Traffic'!D514</f>
        <v>0.489496391890344</v>
      </c>
      <c r="L516" s="5">
        <f t="shared" si="490"/>
        <v>0.5737886493401142</v>
      </c>
      <c r="M516" s="5">
        <f t="shared" si="491"/>
        <v>0.67548462521410513</v>
      </c>
      <c r="N516" s="5">
        <f t="shared" si="492"/>
        <v>0.78188770376333261</v>
      </c>
      <c r="O516" s="5">
        <f t="shared" si="502"/>
        <v>1.847367106631248E-3</v>
      </c>
      <c r="P516" s="2">
        <f t="shared" ref="P516:R516" si="559">(L516/L509)-1</f>
        <v>-2.8772328773553513E-2</v>
      </c>
      <c r="Q516" s="2">
        <f t="shared" si="559"/>
        <v>-3.4193860191188974E-2</v>
      </c>
      <c r="R516" s="2">
        <f t="shared" si="559"/>
        <v>-4.6923224279270537E-3</v>
      </c>
      <c r="S516" s="3"/>
    </row>
    <row r="517" spans="3:19" x14ac:dyDescent="0.25">
      <c r="C517" s="1">
        <f t="shared" si="494"/>
        <v>43979</v>
      </c>
      <c r="D517">
        <v>64991</v>
      </c>
      <c r="E517">
        <v>37714</v>
      </c>
      <c r="F517">
        <v>35958</v>
      </c>
      <c r="G517">
        <v>28410</v>
      </c>
      <c r="H517">
        <f>'Total Traffic'!D515-'Page Sessions'!D517</f>
        <v>65149</v>
      </c>
      <c r="I517" s="2">
        <f t="shared" ref="I517:I580" si="560">G517/D517</f>
        <v>0.43713744980074165</v>
      </c>
      <c r="J517" s="2">
        <f t="shared" si="501"/>
        <v>0.39981057264619535</v>
      </c>
      <c r="K517" s="2">
        <f>D517/'Total Traffic'!D515</f>
        <v>0.49939296142615647</v>
      </c>
      <c r="L517" s="5">
        <f t="shared" ref="L517:L580" si="561">E517/D517</f>
        <v>0.58029573325537387</v>
      </c>
      <c r="M517" s="5">
        <f t="shared" ref="M517:M580" si="562">F517/E517</f>
        <v>0.95343904120485756</v>
      </c>
      <c r="N517" s="5">
        <f t="shared" ref="N517:N580" si="563">G517/F517</f>
        <v>0.79008843650926075</v>
      </c>
      <c r="O517" s="5">
        <f t="shared" si="502"/>
        <v>2.3137764390391169E-2</v>
      </c>
      <c r="P517" s="2">
        <f t="shared" ref="P517:R517" si="564">(L517/L510)-1</f>
        <v>8.7430726031723083E-4</v>
      </c>
      <c r="Q517" s="2">
        <f t="shared" si="564"/>
        <v>0.38545029014526766</v>
      </c>
      <c r="R517" s="2">
        <f t="shared" si="564"/>
        <v>9.4824672863249582E-3</v>
      </c>
      <c r="S517" s="3"/>
    </row>
    <row r="518" spans="3:19" x14ac:dyDescent="0.25">
      <c r="C518" s="1">
        <f t="shared" ref="C518:C581" si="565">C517+1</f>
        <v>43980</v>
      </c>
      <c r="D518">
        <v>62468</v>
      </c>
      <c r="E518">
        <v>36262</v>
      </c>
      <c r="F518">
        <v>24835</v>
      </c>
      <c r="G518">
        <v>19175</v>
      </c>
      <c r="H518">
        <f>'Total Traffic'!D516-'Page Sessions'!D518</f>
        <v>68356</v>
      </c>
      <c r="I518" s="2">
        <f t="shared" si="560"/>
        <v>0.30695716206697832</v>
      </c>
      <c r="J518" s="2">
        <f t="shared" si="501"/>
        <v>-1.7369183323595605E-3</v>
      </c>
      <c r="K518" s="2">
        <f>D518/'Total Traffic'!D516</f>
        <v>0.47749648382559773</v>
      </c>
      <c r="L518" s="5">
        <f t="shared" si="561"/>
        <v>0.58048921047576363</v>
      </c>
      <c r="M518" s="5">
        <f t="shared" si="562"/>
        <v>0.68487673046164033</v>
      </c>
      <c r="N518" s="5">
        <f t="shared" si="563"/>
        <v>0.77209583249446345</v>
      </c>
      <c r="O518" s="5">
        <f t="shared" si="502"/>
        <v>-4.327726351113792E-2</v>
      </c>
      <c r="P518" s="2">
        <f t="shared" ref="P518:R518" si="566">(L518/L511)-1</f>
        <v>4.8511831760567059E-3</v>
      </c>
      <c r="Q518" s="2">
        <f t="shared" si="566"/>
        <v>9.8798779238904455E-3</v>
      </c>
      <c r="R518" s="2">
        <f t="shared" si="566"/>
        <v>-1.6275374923418351E-2</v>
      </c>
      <c r="S518" s="3"/>
    </row>
    <row r="519" spans="3:19" x14ac:dyDescent="0.25">
      <c r="C519" s="1">
        <f t="shared" si="565"/>
        <v>43981</v>
      </c>
      <c r="D519">
        <v>62503</v>
      </c>
      <c r="E519">
        <v>36082</v>
      </c>
      <c r="F519">
        <v>24986</v>
      </c>
      <c r="G519">
        <v>19908</v>
      </c>
      <c r="H519">
        <f>'Total Traffic'!D517-'Page Sessions'!D519</f>
        <v>67686</v>
      </c>
      <c r="I519" s="2">
        <f t="shared" si="560"/>
        <v>0.31851271138985326</v>
      </c>
      <c r="J519" s="2">
        <f t="shared" si="501"/>
        <v>-2.7649818501218837E-2</v>
      </c>
      <c r="K519" s="2">
        <f>D519/'Total Traffic'!D517</f>
        <v>0.48009432440528771</v>
      </c>
      <c r="L519" s="5">
        <f t="shared" si="561"/>
        <v>0.57728429035406303</v>
      </c>
      <c r="M519" s="5">
        <f t="shared" si="562"/>
        <v>0.69247824399977831</v>
      </c>
      <c r="N519" s="5">
        <f t="shared" si="563"/>
        <v>0.79676618906587693</v>
      </c>
      <c r="O519" s="5">
        <f t="shared" si="502"/>
        <v>-1.4373393801575762E-2</v>
      </c>
      <c r="P519" s="2">
        <f t="shared" ref="P519:R519" si="567">(L519/L512)-1</f>
        <v>-3.7839369701983205E-2</v>
      </c>
      <c r="Q519" s="2">
        <f t="shared" si="567"/>
        <v>2.8741818071920111E-3</v>
      </c>
      <c r="R519" s="2">
        <f t="shared" si="567"/>
        <v>7.6939850302937263E-3</v>
      </c>
      <c r="S519" s="3"/>
    </row>
    <row r="520" spans="3:19" x14ac:dyDescent="0.25">
      <c r="C520" s="1">
        <f t="shared" si="565"/>
        <v>43982</v>
      </c>
      <c r="D520">
        <v>63887</v>
      </c>
      <c r="E520">
        <v>37246</v>
      </c>
      <c r="F520">
        <v>25669</v>
      </c>
      <c r="G520">
        <v>20496</v>
      </c>
      <c r="H520">
        <f>'Total Traffic'!D518-'Page Sessions'!D520</f>
        <v>66178</v>
      </c>
      <c r="I520" s="2">
        <f t="shared" si="560"/>
        <v>0.32081644152957567</v>
      </c>
      <c r="J520" s="2">
        <f t="shared" si="501"/>
        <v>1.338255031176816E-2</v>
      </c>
      <c r="K520" s="2">
        <f>D520/'Total Traffic'!D518</f>
        <v>0.49119286510590859</v>
      </c>
      <c r="L520" s="5">
        <f t="shared" si="561"/>
        <v>0.58299810603096092</v>
      </c>
      <c r="M520" s="5">
        <f t="shared" si="562"/>
        <v>0.68917467647532626</v>
      </c>
      <c r="N520" s="5">
        <f t="shared" si="563"/>
        <v>0.79847286610308155</v>
      </c>
      <c r="O520" s="5">
        <f t="shared" si="502"/>
        <v>-4.6684910928654899E-3</v>
      </c>
      <c r="P520" s="2">
        <f t="shared" ref="P520:R520" si="568">(L520/L513)-1</f>
        <v>-1.7839019804524625E-2</v>
      </c>
      <c r="Q520" s="2">
        <f t="shared" si="568"/>
        <v>1.8470976531431482E-2</v>
      </c>
      <c r="R520" s="2">
        <f t="shared" si="568"/>
        <v>1.3076142787489697E-2</v>
      </c>
      <c r="S520" s="3"/>
    </row>
    <row r="521" spans="3:19" x14ac:dyDescent="0.25">
      <c r="C521" s="1">
        <f t="shared" si="565"/>
        <v>43983</v>
      </c>
      <c r="D521">
        <v>61994</v>
      </c>
      <c r="E521">
        <v>37177</v>
      </c>
      <c r="F521">
        <v>25577</v>
      </c>
      <c r="G521">
        <v>20226</v>
      </c>
      <c r="H521">
        <f>'Total Traffic'!D519-'Page Sessions'!D521</f>
        <v>68110</v>
      </c>
      <c r="I521" s="2">
        <f t="shared" si="560"/>
        <v>0.3262573797464271</v>
      </c>
      <c r="J521" s="2">
        <f t="shared" si="501"/>
        <v>8.7364458798320888E-2</v>
      </c>
      <c r="K521" s="2">
        <f>D521/'Total Traffic'!D519</f>
        <v>0.47649572649572647</v>
      </c>
      <c r="L521" s="5">
        <f t="shared" si="561"/>
        <v>0.59968706649030556</v>
      </c>
      <c r="M521" s="5">
        <f t="shared" si="562"/>
        <v>0.68797912687952234</v>
      </c>
      <c r="N521" s="5">
        <f t="shared" si="563"/>
        <v>0.7907885991320327</v>
      </c>
      <c r="O521" s="5">
        <f t="shared" si="502"/>
        <v>-1.9549930017945361E-2</v>
      </c>
      <c r="P521" s="2">
        <f t="shared" ref="P521:R521" si="569">(L521/L514)-1</f>
        <v>4.4397157156190747E-2</v>
      </c>
      <c r="Q521" s="2">
        <f t="shared" si="569"/>
        <v>1.9418211907278105E-2</v>
      </c>
      <c r="R521" s="2">
        <f t="shared" si="569"/>
        <v>2.1308778200602729E-2</v>
      </c>
      <c r="S521" s="3"/>
    </row>
    <row r="522" spans="3:19" x14ac:dyDescent="0.25">
      <c r="C522" s="1">
        <f t="shared" si="565"/>
        <v>43984</v>
      </c>
      <c r="D522">
        <v>64738</v>
      </c>
      <c r="E522">
        <v>49993</v>
      </c>
      <c r="F522">
        <v>34770</v>
      </c>
      <c r="G522">
        <v>27652</v>
      </c>
      <c r="H522">
        <f>'Total Traffic'!D520-'Page Sessions'!D522</f>
        <v>65573</v>
      </c>
      <c r="I522" s="2">
        <f t="shared" si="560"/>
        <v>0.42713707559702185</v>
      </c>
      <c r="J522" s="2">
        <f t="shared" si="501"/>
        <v>0.34363084707710634</v>
      </c>
      <c r="K522" s="2">
        <f>D522/'Total Traffic'!D520</f>
        <v>0.49679612619042135</v>
      </c>
      <c r="L522" s="5">
        <f t="shared" si="561"/>
        <v>0.7722357811486299</v>
      </c>
      <c r="M522" s="5">
        <f t="shared" si="562"/>
        <v>0.69549736963174846</v>
      </c>
      <c r="N522" s="5">
        <f t="shared" si="563"/>
        <v>0.79528329019269484</v>
      </c>
      <c r="O522" s="5">
        <f t="shared" si="502"/>
        <v>-3.4160087654515614E-3</v>
      </c>
      <c r="P522" s="2">
        <f t="shared" ref="P522:R522" si="570">(L522/L515)-1</f>
        <v>0.28728976673119577</v>
      </c>
      <c r="Q522" s="2">
        <f t="shared" si="570"/>
        <v>1.9356314765951232E-2</v>
      </c>
      <c r="R522" s="2">
        <f t="shared" si="570"/>
        <v>2.3947361628124497E-2</v>
      </c>
      <c r="S522" s="3"/>
    </row>
    <row r="523" spans="3:19" x14ac:dyDescent="0.25">
      <c r="C523" s="1">
        <f t="shared" si="565"/>
        <v>43985</v>
      </c>
      <c r="D523">
        <v>64403</v>
      </c>
      <c r="E523">
        <v>36915</v>
      </c>
      <c r="F523">
        <v>25153</v>
      </c>
      <c r="G523">
        <v>19833</v>
      </c>
      <c r="H523">
        <f>'Total Traffic'!D521-'Page Sessions'!D523</f>
        <v>66100</v>
      </c>
      <c r="I523" s="2">
        <f t="shared" si="560"/>
        <v>0.30795149294287533</v>
      </c>
      <c r="J523" s="2">
        <f t="shared" si="501"/>
        <v>1.6179687049531211E-2</v>
      </c>
      <c r="K523" s="2">
        <f>D523/'Total Traffic'!D521</f>
        <v>0.49349823375707841</v>
      </c>
      <c r="L523" s="5">
        <f t="shared" si="561"/>
        <v>0.57318758442929674</v>
      </c>
      <c r="M523" s="5">
        <f t="shared" si="562"/>
        <v>0.68137613436272515</v>
      </c>
      <c r="N523" s="5">
        <f t="shared" si="563"/>
        <v>0.78849441418518662</v>
      </c>
      <c r="O523" s="5">
        <f t="shared" si="502"/>
        <v>8.175426689622789E-3</v>
      </c>
      <c r="P523" s="2">
        <f t="shared" ref="P523:R523" si="571">(L523/L516)-1</f>
        <v>-1.0475371227868235E-3</v>
      </c>
      <c r="Q523" s="2">
        <f t="shared" si="571"/>
        <v>8.7218996979430141E-3</v>
      </c>
      <c r="R523" s="2">
        <f t="shared" si="571"/>
        <v>8.4496921873242758E-3</v>
      </c>
      <c r="S523" s="3"/>
    </row>
    <row r="524" spans="3:19" x14ac:dyDescent="0.25">
      <c r="C524" s="1">
        <f t="shared" si="565"/>
        <v>43986</v>
      </c>
      <c r="D524">
        <v>64075</v>
      </c>
      <c r="E524">
        <v>37137</v>
      </c>
      <c r="F524">
        <v>25457</v>
      </c>
      <c r="G524">
        <v>20365</v>
      </c>
      <c r="H524">
        <f>'Total Traffic'!D522-'Page Sessions'!D524</f>
        <v>66959</v>
      </c>
      <c r="I524" s="2">
        <f t="shared" si="560"/>
        <v>0.31783066718689035</v>
      </c>
      <c r="J524" s="2">
        <f t="shared" ref="J524:J587" si="572">(I524/I517)-1</f>
        <v>-0.27292738855532594</v>
      </c>
      <c r="K524" s="2">
        <f>D524/'Total Traffic'!D522</f>
        <v>0.48899522261397804</v>
      </c>
      <c r="L524" s="5">
        <f t="shared" si="561"/>
        <v>0.57958642216152945</v>
      </c>
      <c r="M524" s="5">
        <f t="shared" si="562"/>
        <v>0.68548886555187549</v>
      </c>
      <c r="N524" s="5">
        <f t="shared" si="563"/>
        <v>0.79997643084416858</v>
      </c>
      <c r="O524" s="5">
        <f t="shared" ref="O524:O587" si="573">(K524/K517)-1</f>
        <v>-2.0820755627962373E-2</v>
      </c>
      <c r="P524" s="2">
        <f t="shared" ref="P524:R524" si="574">(L524/L517)-1</f>
        <v>-1.2223269157353167E-3</v>
      </c>
      <c r="Q524" s="2">
        <f t="shared" si="574"/>
        <v>-0.28103545593683088</v>
      </c>
      <c r="R524" s="2">
        <f t="shared" si="574"/>
        <v>1.2515047528849577E-2</v>
      </c>
      <c r="S524" s="3"/>
    </row>
    <row r="525" spans="3:19" x14ac:dyDescent="0.25">
      <c r="C525" s="1">
        <f t="shared" si="565"/>
        <v>43987</v>
      </c>
      <c r="D525">
        <v>64855</v>
      </c>
      <c r="E525">
        <v>37576</v>
      </c>
      <c r="F525">
        <v>25701</v>
      </c>
      <c r="G525">
        <v>19982</v>
      </c>
      <c r="H525">
        <f>'Total Traffic'!D523-'Page Sessions'!D525</f>
        <v>65692</v>
      </c>
      <c r="I525" s="2">
        <f t="shared" si="560"/>
        <v>0.30810269061753143</v>
      </c>
      <c r="J525" s="2">
        <f t="shared" si="572"/>
        <v>3.7318840936610975E-3</v>
      </c>
      <c r="K525" s="2">
        <f>D525/'Total Traffic'!D523</f>
        <v>0.49679425800669491</v>
      </c>
      <c r="L525" s="5">
        <f t="shared" si="561"/>
        <v>0.57938478143550998</v>
      </c>
      <c r="M525" s="5">
        <f t="shared" si="562"/>
        <v>0.68397381307217375</v>
      </c>
      <c r="N525" s="5">
        <f t="shared" si="563"/>
        <v>0.77747947550678964</v>
      </c>
      <c r="O525" s="5">
        <f t="shared" si="573"/>
        <v>4.0414484367481851E-2</v>
      </c>
      <c r="P525" s="2">
        <f t="shared" ref="P525:R525" si="575">(L525/L518)-1</f>
        <v>-1.9025832355238359E-3</v>
      </c>
      <c r="Q525" s="2">
        <f t="shared" si="575"/>
        <v>-1.3183648229045941E-3</v>
      </c>
      <c r="R525" s="2">
        <f t="shared" si="575"/>
        <v>6.9727652782853866E-3</v>
      </c>
      <c r="S525" s="3"/>
    </row>
    <row r="526" spans="3:19" x14ac:dyDescent="0.25">
      <c r="C526" s="1">
        <f t="shared" si="565"/>
        <v>43988</v>
      </c>
      <c r="D526">
        <v>64086</v>
      </c>
      <c r="E526">
        <v>38201</v>
      </c>
      <c r="F526">
        <v>26244</v>
      </c>
      <c r="G526">
        <v>20643</v>
      </c>
      <c r="H526">
        <f>'Total Traffic'!D524-'Page Sessions'!D526</f>
        <v>66410</v>
      </c>
      <c r="I526" s="2">
        <f t="shared" si="560"/>
        <v>0.32211403426645446</v>
      </c>
      <c r="J526" s="2">
        <f t="shared" si="572"/>
        <v>1.1306684938527489E-2</v>
      </c>
      <c r="K526" s="2">
        <f>D526/'Total Traffic'!D524</f>
        <v>0.49109551250613048</v>
      </c>
      <c r="L526" s="5">
        <f t="shared" si="561"/>
        <v>0.59608962956027833</v>
      </c>
      <c r="M526" s="5">
        <f t="shared" si="562"/>
        <v>0.68699772257270753</v>
      </c>
      <c r="N526" s="5">
        <f t="shared" si="563"/>
        <v>0.78657978966620945</v>
      </c>
      <c r="O526" s="5">
        <f t="shared" si="573"/>
        <v>2.2914638939900867E-2</v>
      </c>
      <c r="P526" s="2">
        <f t="shared" ref="P526:R526" si="576">(L526/L519)-1</f>
        <v>3.2575525647305481E-2</v>
      </c>
      <c r="Q526" s="2">
        <f t="shared" si="576"/>
        <v>-7.9143590063062152E-3</v>
      </c>
      <c r="R526" s="2">
        <f t="shared" si="576"/>
        <v>-1.2784678290139184E-2</v>
      </c>
      <c r="S526" s="3"/>
    </row>
    <row r="527" spans="3:19" x14ac:dyDescent="0.25">
      <c r="C527" s="1">
        <f t="shared" si="565"/>
        <v>43989</v>
      </c>
      <c r="D527">
        <v>63052</v>
      </c>
      <c r="E527">
        <v>36040</v>
      </c>
      <c r="F527">
        <v>24727</v>
      </c>
      <c r="G527">
        <v>19262</v>
      </c>
      <c r="H527">
        <f>'Total Traffic'!D525-'Page Sessions'!D527</f>
        <v>67465</v>
      </c>
      <c r="I527" s="2">
        <f t="shared" si="560"/>
        <v>0.3054938780688955</v>
      </c>
      <c r="J527" s="2">
        <f t="shared" si="572"/>
        <v>-4.7761153972115222E-2</v>
      </c>
      <c r="K527" s="2">
        <f>D527/'Total Traffic'!D525</f>
        <v>0.48309415631680164</v>
      </c>
      <c r="L527" s="5">
        <f t="shared" si="561"/>
        <v>0.57159170208716614</v>
      </c>
      <c r="M527" s="5">
        <f t="shared" si="562"/>
        <v>0.68609877913429518</v>
      </c>
      <c r="N527" s="5">
        <f t="shared" si="563"/>
        <v>0.77898653293970155</v>
      </c>
      <c r="O527" s="5">
        <f t="shared" si="573"/>
        <v>-1.6487838819402967E-2</v>
      </c>
      <c r="P527" s="2">
        <f t="shared" ref="P527:R527" si="577">(L527/L520)-1</f>
        <v>-1.9565078901283783E-2</v>
      </c>
      <c r="Q527" s="2">
        <f t="shared" si="577"/>
        <v>-4.4631607138588825E-3</v>
      </c>
      <c r="R527" s="2">
        <f t="shared" si="577"/>
        <v>-2.4404502633235792E-2</v>
      </c>
      <c r="S527" s="3"/>
    </row>
    <row r="528" spans="3:19" x14ac:dyDescent="0.25">
      <c r="C528" s="1">
        <f t="shared" si="565"/>
        <v>43990</v>
      </c>
      <c r="D528">
        <v>63587</v>
      </c>
      <c r="E528">
        <v>36594</v>
      </c>
      <c r="F528">
        <v>25004</v>
      </c>
      <c r="G528">
        <v>19915</v>
      </c>
      <c r="H528">
        <f>'Total Traffic'!D526-'Page Sessions'!D528</f>
        <v>67224</v>
      </c>
      <c r="I528" s="2">
        <f t="shared" si="560"/>
        <v>0.31319294824413796</v>
      </c>
      <c r="J528" s="2">
        <f t="shared" si="572"/>
        <v>-4.004332871318661E-2</v>
      </c>
      <c r="K528" s="2">
        <f>D528/'Total Traffic'!D526</f>
        <v>0.48609826390746957</v>
      </c>
      <c r="L528" s="5">
        <f t="shared" si="561"/>
        <v>0.57549499111453595</v>
      </c>
      <c r="M528" s="5">
        <f t="shared" si="562"/>
        <v>0.68328141225337491</v>
      </c>
      <c r="N528" s="5">
        <f t="shared" si="563"/>
        <v>0.7964725643896976</v>
      </c>
      <c r="O528" s="5">
        <f t="shared" si="573"/>
        <v>2.0152410352895833E-2</v>
      </c>
      <c r="P528" s="2">
        <f t="shared" ref="P528:R528" si="578">(L528/L521)-1</f>
        <v>-4.0341165797279532E-2</v>
      </c>
      <c r="Q528" s="2">
        <f t="shared" si="578"/>
        <v>-6.8282807466193418E-3</v>
      </c>
      <c r="R528" s="2">
        <f t="shared" si="578"/>
        <v>7.1877177590871089E-3</v>
      </c>
      <c r="S528" s="3"/>
    </row>
    <row r="529" spans="3:19" x14ac:dyDescent="0.25">
      <c r="C529" s="1">
        <f t="shared" si="565"/>
        <v>43991</v>
      </c>
      <c r="D529">
        <v>65256</v>
      </c>
      <c r="E529">
        <v>37411</v>
      </c>
      <c r="F529">
        <v>25491</v>
      </c>
      <c r="G529">
        <v>19658</v>
      </c>
      <c r="H529">
        <f>'Total Traffic'!D527-'Page Sessions'!D529</f>
        <v>65703</v>
      </c>
      <c r="I529" s="2">
        <f t="shared" si="560"/>
        <v>0.30124433002329287</v>
      </c>
      <c r="J529" s="2">
        <f t="shared" si="572"/>
        <v>-0.29473616964241522</v>
      </c>
      <c r="K529" s="2">
        <f>D529/'Total Traffic'!D527</f>
        <v>0.49829335899021832</v>
      </c>
      <c r="L529" s="5">
        <f t="shared" si="561"/>
        <v>0.5732959421355891</v>
      </c>
      <c r="M529" s="5">
        <f t="shared" si="562"/>
        <v>0.68137713506722619</v>
      </c>
      <c r="N529" s="5">
        <f t="shared" si="563"/>
        <v>0.77117413989251105</v>
      </c>
      <c r="O529" s="5">
        <f t="shared" si="573"/>
        <v>3.0137771227771726E-3</v>
      </c>
      <c r="P529" s="2">
        <f t="shared" ref="P529:R529" si="579">(L529/L522)-1</f>
        <v>-0.25761541211822125</v>
      </c>
      <c r="Q529" s="2">
        <f t="shared" si="579"/>
        <v>-2.0302355093015922E-2</v>
      </c>
      <c r="R529" s="2">
        <f t="shared" si="579"/>
        <v>-3.0315172715803196E-2</v>
      </c>
      <c r="S529" s="3"/>
    </row>
    <row r="530" spans="3:19" x14ac:dyDescent="0.25">
      <c r="C530" s="1">
        <f t="shared" si="565"/>
        <v>43992</v>
      </c>
      <c r="D530">
        <v>65258</v>
      </c>
      <c r="E530">
        <v>37268</v>
      </c>
      <c r="F530">
        <v>10502</v>
      </c>
      <c r="G530">
        <v>8352</v>
      </c>
      <c r="H530">
        <f>'Total Traffic'!D528-'Page Sessions'!D530</f>
        <v>65495</v>
      </c>
      <c r="I530" s="2">
        <f t="shared" si="560"/>
        <v>0.12798430843727973</v>
      </c>
      <c r="J530" s="2">
        <f t="shared" si="572"/>
        <v>-0.58440107818856823</v>
      </c>
      <c r="K530" s="2">
        <f>D530/'Total Traffic'!D528</f>
        <v>0.49909371104295885</v>
      </c>
      <c r="L530" s="5">
        <f t="shared" si="561"/>
        <v>0.57108706978454749</v>
      </c>
      <c r="M530" s="5">
        <f t="shared" si="562"/>
        <v>0.28179671568101322</v>
      </c>
      <c r="N530" s="5">
        <f t="shared" si="563"/>
        <v>0.79527709007808034</v>
      </c>
      <c r="O530" s="5">
        <f t="shared" si="573"/>
        <v>1.1338393743137054E-2</v>
      </c>
      <c r="P530" s="2">
        <f t="shared" ref="P530:R530" si="580">(L530/L523)-1</f>
        <v>-3.6646199286410885E-3</v>
      </c>
      <c r="Q530" s="2">
        <f t="shared" si="580"/>
        <v>-0.58643001791577132</v>
      </c>
      <c r="R530" s="2">
        <f t="shared" si="580"/>
        <v>8.6020595338049954E-3</v>
      </c>
      <c r="S530" s="3"/>
    </row>
    <row r="531" spans="3:19" x14ac:dyDescent="0.25">
      <c r="C531" s="1">
        <f t="shared" si="565"/>
        <v>43993</v>
      </c>
      <c r="D531">
        <v>62837</v>
      </c>
      <c r="E531">
        <v>36030</v>
      </c>
      <c r="F531">
        <v>24752</v>
      </c>
      <c r="G531">
        <v>19702</v>
      </c>
      <c r="H531">
        <f>'Total Traffic'!D529-'Page Sessions'!D531</f>
        <v>68129</v>
      </c>
      <c r="I531" s="2">
        <f t="shared" si="560"/>
        <v>0.31354138485287331</v>
      </c>
      <c r="J531" s="2">
        <f t="shared" si="572"/>
        <v>-1.3495495485005726E-2</v>
      </c>
      <c r="K531" s="2">
        <f>D531/'Total Traffic'!D529</f>
        <v>0.4797962830047493</v>
      </c>
      <c r="L531" s="5">
        <f t="shared" si="561"/>
        <v>0.57338829033849481</v>
      </c>
      <c r="M531" s="5">
        <f t="shared" si="562"/>
        <v>0.68698306966416878</v>
      </c>
      <c r="N531" s="5">
        <f t="shared" si="563"/>
        <v>0.79597608274078857</v>
      </c>
      <c r="O531" s="5">
        <f t="shared" si="573"/>
        <v>-1.8811921229117123E-2</v>
      </c>
      <c r="P531" s="2">
        <f t="shared" ref="P531:R531" si="581">(L531/L524)-1</f>
        <v>-1.0694059739907447E-2</v>
      </c>
      <c r="Q531" s="2">
        <f t="shared" si="581"/>
        <v>2.1797642345222634E-3</v>
      </c>
      <c r="R531" s="2">
        <f t="shared" si="581"/>
        <v>-5.0005824536089039E-3</v>
      </c>
      <c r="S531" s="3"/>
    </row>
    <row r="532" spans="3:19" x14ac:dyDescent="0.25">
      <c r="C532" s="1">
        <f t="shared" si="565"/>
        <v>43994</v>
      </c>
      <c r="D532">
        <v>62347</v>
      </c>
      <c r="E532">
        <v>36373</v>
      </c>
      <c r="F532">
        <v>24911</v>
      </c>
      <c r="G532">
        <v>19751</v>
      </c>
      <c r="H532">
        <f>'Total Traffic'!D530-'Page Sessions'!D532</f>
        <v>68498</v>
      </c>
      <c r="I532" s="2">
        <f t="shared" si="560"/>
        <v>0.31679150560572283</v>
      </c>
      <c r="J532" s="2">
        <f t="shared" si="572"/>
        <v>2.8201035735119229E-2</v>
      </c>
      <c r="K532" s="2">
        <f>D532/'Total Traffic'!D530</f>
        <v>0.47649508960984371</v>
      </c>
      <c r="L532" s="5">
        <f t="shared" si="561"/>
        <v>0.58339615378446441</v>
      </c>
      <c r="M532" s="5">
        <f t="shared" si="562"/>
        <v>0.68487614439281885</v>
      </c>
      <c r="N532" s="5">
        <f t="shared" si="563"/>
        <v>0.7928625908233311</v>
      </c>
      <c r="O532" s="5">
        <f t="shared" si="573"/>
        <v>-4.0860312029970425E-2</v>
      </c>
      <c r="P532" s="2">
        <f t="shared" ref="P532:R532" si="582">(L532/L525)-1</f>
        <v>6.9235031320906693E-3</v>
      </c>
      <c r="Q532" s="2">
        <f t="shared" si="582"/>
        <v>1.3192483445998437E-3</v>
      </c>
      <c r="R532" s="2">
        <f t="shared" si="582"/>
        <v>1.9785879629187875E-2</v>
      </c>
      <c r="S532" s="3"/>
    </row>
    <row r="533" spans="3:19" x14ac:dyDescent="0.25">
      <c r="C533" s="1">
        <f t="shared" si="565"/>
        <v>43995</v>
      </c>
      <c r="D533">
        <v>61439</v>
      </c>
      <c r="E533">
        <v>36562</v>
      </c>
      <c r="F533">
        <v>25443</v>
      </c>
      <c r="G533">
        <v>19787</v>
      </c>
      <c r="H533">
        <f>'Total Traffic'!D531-'Page Sessions'!D533</f>
        <v>68812</v>
      </c>
      <c r="I533" s="2">
        <f t="shared" si="560"/>
        <v>0.32205927830856623</v>
      </c>
      <c r="J533" s="2">
        <f t="shared" si="572"/>
        <v>-1.6998935800149884E-4</v>
      </c>
      <c r="K533" s="2">
        <f>D533/'Total Traffic'!D531</f>
        <v>0.47169695434200121</v>
      </c>
      <c r="L533" s="5">
        <f t="shared" si="561"/>
        <v>0.59509432119663408</v>
      </c>
      <c r="M533" s="5">
        <f t="shared" si="562"/>
        <v>0.69588643947267659</v>
      </c>
      <c r="N533" s="5">
        <f t="shared" si="563"/>
        <v>0.77769917069527961</v>
      </c>
      <c r="O533" s="5">
        <f t="shared" si="573"/>
        <v>-3.9500581190684558E-2</v>
      </c>
      <c r="P533" s="2">
        <f t="shared" ref="P533:R533" si="583">(L533/L526)-1</f>
        <v>-1.6697293733803908E-3</v>
      </c>
      <c r="Q533" s="2">
        <f t="shared" si="583"/>
        <v>1.2938495438794329E-2</v>
      </c>
      <c r="R533" s="2">
        <f t="shared" si="583"/>
        <v>-1.1290169271573114E-2</v>
      </c>
      <c r="S533" s="3"/>
    </row>
    <row r="534" spans="3:19" x14ac:dyDescent="0.25">
      <c r="C534" s="1">
        <f t="shared" si="565"/>
        <v>43996</v>
      </c>
      <c r="D534">
        <v>62566</v>
      </c>
      <c r="E534">
        <v>35737</v>
      </c>
      <c r="F534">
        <v>24254</v>
      </c>
      <c r="G534">
        <v>18835</v>
      </c>
      <c r="H534">
        <f>'Total Traffic'!D532-'Page Sessions'!D534</f>
        <v>67565</v>
      </c>
      <c r="I534" s="2">
        <f t="shared" si="560"/>
        <v>0.30104209954288269</v>
      </c>
      <c r="J534" s="2">
        <f t="shared" si="572"/>
        <v>-1.4572398485212301E-2</v>
      </c>
      <c r="K534" s="2">
        <f>D534/'Total Traffic'!D532</f>
        <v>0.48079243224135676</v>
      </c>
      <c r="L534" s="5">
        <f t="shared" si="561"/>
        <v>0.57118882460122111</v>
      </c>
      <c r="M534" s="5">
        <f t="shared" si="562"/>
        <v>0.67868035929149062</v>
      </c>
      <c r="N534" s="5">
        <f t="shared" si="563"/>
        <v>0.77657293642285807</v>
      </c>
      <c r="O534" s="5">
        <f t="shared" si="573"/>
        <v>-4.7645454728610925E-3</v>
      </c>
      <c r="P534" s="2">
        <f t="shared" ref="P534:R534" si="584">(L534/L527)-1</f>
        <v>-7.0483438523327724E-4</v>
      </c>
      <c r="Q534" s="2">
        <f t="shared" si="584"/>
        <v>-1.0812466176029267E-2</v>
      </c>
      <c r="R534" s="2">
        <f t="shared" si="584"/>
        <v>-3.0983802861587195E-3</v>
      </c>
      <c r="S534" s="3"/>
    </row>
    <row r="535" spans="3:19" x14ac:dyDescent="0.25">
      <c r="C535" s="1">
        <f t="shared" si="565"/>
        <v>43997</v>
      </c>
      <c r="D535">
        <v>65237</v>
      </c>
      <c r="E535">
        <v>38039</v>
      </c>
      <c r="F535">
        <v>25885</v>
      </c>
      <c r="G535">
        <v>20604</v>
      </c>
      <c r="H535">
        <f>'Total Traffic'!D533-'Page Sessions'!D535</f>
        <v>65474</v>
      </c>
      <c r="I535" s="2">
        <f t="shared" si="560"/>
        <v>0.31583303953278047</v>
      </c>
      <c r="J535" s="2">
        <f t="shared" si="572"/>
        <v>8.4296000387100722E-3</v>
      </c>
      <c r="K535" s="2">
        <f>D535/'Total Traffic'!D533</f>
        <v>0.49909341983459693</v>
      </c>
      <c r="L535" s="5">
        <f t="shared" si="561"/>
        <v>0.58308935113509208</v>
      </c>
      <c r="M535" s="5">
        <f t="shared" si="562"/>
        <v>0.68048581718762324</v>
      </c>
      <c r="N535" s="5">
        <f t="shared" si="563"/>
        <v>0.79598222909020666</v>
      </c>
      <c r="O535" s="5">
        <f t="shared" si="573"/>
        <v>2.6733598722749274E-2</v>
      </c>
      <c r="P535" s="2">
        <f t="shared" ref="P535:R535" si="585">(L535/L528)-1</f>
        <v>1.3196222621935316E-2</v>
      </c>
      <c r="Q535" s="2">
        <f t="shared" si="585"/>
        <v>-4.0914256053478093E-3</v>
      </c>
      <c r="R535" s="2">
        <f t="shared" si="585"/>
        <v>-6.1563363436967222E-4</v>
      </c>
      <c r="S535" s="3"/>
    </row>
    <row r="536" spans="3:19" x14ac:dyDescent="0.25">
      <c r="C536" s="1">
        <f t="shared" si="565"/>
        <v>43998</v>
      </c>
      <c r="D536">
        <v>63369</v>
      </c>
      <c r="E536">
        <v>36304</v>
      </c>
      <c r="F536">
        <v>24799</v>
      </c>
      <c r="G536">
        <v>19439</v>
      </c>
      <c r="H536">
        <f>'Total Traffic'!D534-'Page Sessions'!D536</f>
        <v>67048</v>
      </c>
      <c r="I536" s="2">
        <f t="shared" si="560"/>
        <v>0.30675882529312437</v>
      </c>
      <c r="J536" s="2">
        <f t="shared" si="572"/>
        <v>1.8305723030223042E-2</v>
      </c>
      <c r="K536" s="2">
        <f>D536/'Total Traffic'!D534</f>
        <v>0.4858952437182269</v>
      </c>
      <c r="L536" s="5">
        <f t="shared" si="561"/>
        <v>0.5728984203632691</v>
      </c>
      <c r="M536" s="5">
        <f t="shared" si="562"/>
        <v>0.68309277214631992</v>
      </c>
      <c r="N536" s="5">
        <f t="shared" si="563"/>
        <v>0.78386225251018182</v>
      </c>
      <c r="O536" s="5">
        <f t="shared" si="573"/>
        <v>-2.4881156949624894E-2</v>
      </c>
      <c r="P536" s="2">
        <f t="shared" ref="P536:R536" si="586">(L536/L529)-1</f>
        <v>-6.9339714988947421E-4</v>
      </c>
      <c r="Q536" s="2">
        <f t="shared" si="586"/>
        <v>2.5178964640844015E-3</v>
      </c>
      <c r="R536" s="2">
        <f t="shared" si="586"/>
        <v>1.6452979893023079E-2</v>
      </c>
      <c r="S536" s="3"/>
    </row>
    <row r="537" spans="3:19" x14ac:dyDescent="0.25">
      <c r="C537" s="1">
        <f t="shared" si="565"/>
        <v>43999</v>
      </c>
      <c r="D537">
        <v>61613</v>
      </c>
      <c r="E537">
        <v>36924</v>
      </c>
      <c r="F537">
        <v>25337</v>
      </c>
      <c r="G537">
        <v>19980</v>
      </c>
      <c r="H537">
        <f>'Total Traffic'!D535-'Page Sessions'!D537</f>
        <v>69007</v>
      </c>
      <c r="I537" s="2">
        <f t="shared" si="560"/>
        <v>0.32428221316929867</v>
      </c>
      <c r="J537" s="2">
        <f t="shared" si="572"/>
        <v>1.5337654055318595</v>
      </c>
      <c r="K537" s="2">
        <f>D537/'Total Traffic'!D535</f>
        <v>0.47169652426887154</v>
      </c>
      <c r="L537" s="5">
        <f t="shared" si="561"/>
        <v>0.59928911106422345</v>
      </c>
      <c r="M537" s="5">
        <f t="shared" si="562"/>
        <v>0.68619326183512075</v>
      </c>
      <c r="N537" s="5">
        <f t="shared" si="563"/>
        <v>0.78857007538382606</v>
      </c>
      <c r="O537" s="5">
        <f t="shared" si="573"/>
        <v>-5.4893872969938418E-2</v>
      </c>
      <c r="P537" s="2">
        <f t="shared" ref="P537:R537" si="587">(L537/L530)-1</f>
        <v>4.9383084947651978E-2</v>
      </c>
      <c r="Q537" s="2">
        <f t="shared" si="587"/>
        <v>1.4350647954743172</v>
      </c>
      <c r="R537" s="2">
        <f t="shared" si="587"/>
        <v>-8.4335570305386076E-3</v>
      </c>
      <c r="S537" s="3"/>
    </row>
    <row r="538" spans="3:19" x14ac:dyDescent="0.25">
      <c r="C538" s="1">
        <f t="shared" si="565"/>
        <v>44000</v>
      </c>
      <c r="D538">
        <v>64456</v>
      </c>
      <c r="E538">
        <v>37487</v>
      </c>
      <c r="F538">
        <v>26184</v>
      </c>
      <c r="G538">
        <v>20271</v>
      </c>
      <c r="H538">
        <f>'Total Traffic'!D536-'Page Sessions'!D538</f>
        <v>65655</v>
      </c>
      <c r="I538" s="2">
        <f t="shared" si="560"/>
        <v>0.31449360804269577</v>
      </c>
      <c r="J538" s="2">
        <f t="shared" si="572"/>
        <v>3.0369936340917114E-3</v>
      </c>
      <c r="K538" s="2">
        <f>D538/'Total Traffic'!D536</f>
        <v>0.49539239572365135</v>
      </c>
      <c r="L538" s="5">
        <f t="shared" si="561"/>
        <v>0.58159054238550334</v>
      </c>
      <c r="M538" s="5">
        <f t="shared" si="562"/>
        <v>0.69848214047536483</v>
      </c>
      <c r="N538" s="5">
        <f t="shared" si="563"/>
        <v>0.77417506874427133</v>
      </c>
      <c r="O538" s="5">
        <f t="shared" si="573"/>
        <v>3.2505697253906618E-2</v>
      </c>
      <c r="P538" s="2">
        <f t="shared" ref="P538:R538" si="588">(L538/L531)-1</f>
        <v>1.4304882372408345E-2</v>
      </c>
      <c r="Q538" s="2">
        <f t="shared" si="588"/>
        <v>1.6738506840958012E-2</v>
      </c>
      <c r="R538" s="2">
        <f t="shared" si="588"/>
        <v>-2.7389031491310223E-2</v>
      </c>
      <c r="S538" s="3"/>
    </row>
    <row r="539" spans="3:19" x14ac:dyDescent="0.25">
      <c r="C539" s="1">
        <f t="shared" si="565"/>
        <v>44001</v>
      </c>
      <c r="D539">
        <v>64633</v>
      </c>
      <c r="E539">
        <v>36892</v>
      </c>
      <c r="F539">
        <v>25296</v>
      </c>
      <c r="G539">
        <v>19627</v>
      </c>
      <c r="H539">
        <f>'Total Traffic'!D537-'Page Sessions'!D539</f>
        <v>66098</v>
      </c>
      <c r="I539" s="2">
        <f t="shared" si="560"/>
        <v>0.3036684046849133</v>
      </c>
      <c r="J539" s="2">
        <f t="shared" si="572"/>
        <v>-4.1425040408572311E-2</v>
      </c>
      <c r="K539" s="2">
        <f>D539/'Total Traffic'!D537</f>
        <v>0.49439689132646425</v>
      </c>
      <c r="L539" s="5">
        <f t="shared" si="561"/>
        <v>0.57079201027338977</v>
      </c>
      <c r="M539" s="5">
        <f t="shared" si="562"/>
        <v>0.68567711156890387</v>
      </c>
      <c r="N539" s="5">
        <f t="shared" si="563"/>
        <v>0.77589342188488297</v>
      </c>
      <c r="O539" s="5">
        <f t="shared" si="573"/>
        <v>3.7569750679442793E-2</v>
      </c>
      <c r="P539" s="2">
        <f t="shared" ref="P539:R539" si="589">(L539/L532)-1</f>
        <v>-2.1604776495888989E-2</v>
      </c>
      <c r="Q539" s="2">
        <f t="shared" si="589"/>
        <v>1.1695066073518223E-3</v>
      </c>
      <c r="R539" s="2">
        <f t="shared" si="589"/>
        <v>-2.1402408355307601E-2</v>
      </c>
      <c r="S539" s="3"/>
    </row>
    <row r="540" spans="3:19" x14ac:dyDescent="0.25">
      <c r="C540" s="1">
        <f t="shared" si="565"/>
        <v>44002</v>
      </c>
      <c r="D540">
        <v>65159</v>
      </c>
      <c r="E540">
        <v>37147</v>
      </c>
      <c r="F540">
        <v>25029</v>
      </c>
      <c r="G540">
        <v>19660</v>
      </c>
      <c r="H540">
        <f>'Total Traffic'!D538-'Page Sessions'!D540</f>
        <v>65525</v>
      </c>
      <c r="I540" s="2">
        <f t="shared" si="560"/>
        <v>0.30172347641922065</v>
      </c>
      <c r="J540" s="2">
        <f t="shared" si="572"/>
        <v>-6.3143039989867256E-2</v>
      </c>
      <c r="K540" s="2">
        <f>D540/'Total Traffic'!D538</f>
        <v>0.49859967555324292</v>
      </c>
      <c r="L540" s="5">
        <f t="shared" si="561"/>
        <v>0.57009776086189168</v>
      </c>
      <c r="M540" s="5">
        <f t="shared" si="562"/>
        <v>0.67378253963980939</v>
      </c>
      <c r="N540" s="5">
        <f t="shared" si="563"/>
        <v>0.78548883295377359</v>
      </c>
      <c r="O540" s="5">
        <f t="shared" si="573"/>
        <v>5.7033909088452628E-2</v>
      </c>
      <c r="P540" s="2">
        <f t="shared" ref="P540:R540" si="590">(L540/L533)-1</f>
        <v>-4.2004367113567032E-2</v>
      </c>
      <c r="Q540" s="2">
        <f t="shared" si="590"/>
        <v>-3.1763659383299503E-2</v>
      </c>
      <c r="R540" s="2">
        <f t="shared" si="590"/>
        <v>1.0016292355731649E-2</v>
      </c>
      <c r="S540" s="3"/>
    </row>
    <row r="541" spans="3:19" x14ac:dyDescent="0.25">
      <c r="C541" s="1">
        <f t="shared" si="565"/>
        <v>44003</v>
      </c>
      <c r="D541">
        <v>61946</v>
      </c>
      <c r="E541">
        <v>36226</v>
      </c>
      <c r="F541">
        <v>24336</v>
      </c>
      <c r="G541">
        <v>18789</v>
      </c>
      <c r="H541">
        <f>'Total Traffic'!D539-'Page Sessions'!D541</f>
        <v>68937</v>
      </c>
      <c r="I541" s="2">
        <f t="shared" si="560"/>
        <v>0.30331256255448291</v>
      </c>
      <c r="J541" s="2">
        <f t="shared" si="572"/>
        <v>7.5420116158098072E-3</v>
      </c>
      <c r="K541" s="2">
        <f>D541/'Total Traffic'!D539</f>
        <v>0.47329294102366237</v>
      </c>
      <c r="L541" s="5">
        <f t="shared" si="561"/>
        <v>0.58479966422367868</v>
      </c>
      <c r="M541" s="5">
        <f t="shared" si="562"/>
        <v>0.67178269751007569</v>
      </c>
      <c r="N541" s="5">
        <f t="shared" si="563"/>
        <v>0.77206607495069035</v>
      </c>
      <c r="O541" s="5">
        <f t="shared" si="573"/>
        <v>-1.5598188978834915E-2</v>
      </c>
      <c r="P541" s="2">
        <f t="shared" ref="P541:R541" si="591">(L541/L534)-1</f>
        <v>2.3828966947944119E-2</v>
      </c>
      <c r="Q541" s="2">
        <f t="shared" si="591"/>
        <v>-1.0163343740513975E-2</v>
      </c>
      <c r="R541" s="2">
        <f t="shared" si="591"/>
        <v>-5.8035263151555716E-3</v>
      </c>
      <c r="S541" s="3"/>
    </row>
    <row r="542" spans="3:19" x14ac:dyDescent="0.25">
      <c r="C542" s="1">
        <f t="shared" si="565"/>
        <v>44004</v>
      </c>
      <c r="D542">
        <v>64125</v>
      </c>
      <c r="E542">
        <v>37808</v>
      </c>
      <c r="F542">
        <v>26250</v>
      </c>
      <c r="G542">
        <v>20506</v>
      </c>
      <c r="H542">
        <f>'Total Traffic'!D540-'Page Sessions'!D542</f>
        <v>66344</v>
      </c>
      <c r="I542" s="2">
        <f t="shared" si="560"/>
        <v>0.31978167641325533</v>
      </c>
      <c r="J542" s="2">
        <f t="shared" si="572"/>
        <v>1.2502291990464931E-2</v>
      </c>
      <c r="K542" s="2">
        <f>D542/'Total Traffic'!D540</f>
        <v>0.49149606419915842</v>
      </c>
      <c r="L542" s="5">
        <f t="shared" si="561"/>
        <v>0.58959844054580901</v>
      </c>
      <c r="M542" s="5">
        <f t="shared" si="562"/>
        <v>0.69429750317393146</v>
      </c>
      <c r="N542" s="5">
        <f t="shared" si="563"/>
        <v>0.78118095238095242</v>
      </c>
      <c r="O542" s="5">
        <f t="shared" si="573"/>
        <v>-1.5222311762708274E-2</v>
      </c>
      <c r="P542" s="2">
        <f t="shared" ref="P542:R542" si="592">(L542/L535)-1</f>
        <v>1.1163108017743451E-2</v>
      </c>
      <c r="Q542" s="2">
        <f t="shared" si="592"/>
        <v>2.0296802133791036E-2</v>
      </c>
      <c r="R542" s="2">
        <f t="shared" si="592"/>
        <v>-1.8594983868134629E-2</v>
      </c>
      <c r="S542" s="3"/>
    </row>
    <row r="543" spans="3:19" x14ac:dyDescent="0.25">
      <c r="C543" s="1">
        <f t="shared" si="565"/>
        <v>44005</v>
      </c>
      <c r="D543">
        <v>63375</v>
      </c>
      <c r="E543">
        <v>37771</v>
      </c>
      <c r="F543">
        <v>25333</v>
      </c>
      <c r="G543">
        <v>7029</v>
      </c>
      <c r="H543">
        <f>'Total Traffic'!D541-'Page Sessions'!D543</f>
        <v>67000</v>
      </c>
      <c r="I543" s="2">
        <f t="shared" si="560"/>
        <v>0.1109112426035503</v>
      </c>
      <c r="J543" s="2">
        <f t="shared" si="572"/>
        <v>-0.63844155910569578</v>
      </c>
      <c r="K543" s="2">
        <f>D543/'Total Traffic'!D541</f>
        <v>0.48609779482262705</v>
      </c>
      <c r="L543" s="5">
        <f t="shared" si="561"/>
        <v>0.59599211045364886</v>
      </c>
      <c r="M543" s="5">
        <f t="shared" si="562"/>
        <v>0.67069974318921921</v>
      </c>
      <c r="N543" s="5">
        <f t="shared" si="563"/>
        <v>0.27746417716022581</v>
      </c>
      <c r="O543" s="5">
        <f t="shared" si="573"/>
        <v>4.1686167341370428E-4</v>
      </c>
      <c r="P543" s="2">
        <f t="shared" ref="P543:R543" si="593">(L543/L536)-1</f>
        <v>4.0310270144812588E-2</v>
      </c>
      <c r="Q543" s="2">
        <f t="shared" si="593"/>
        <v>-1.8142526846186668E-2</v>
      </c>
      <c r="R543" s="2">
        <f t="shared" si="593"/>
        <v>-0.64602941872542619</v>
      </c>
      <c r="S543" s="3"/>
    </row>
    <row r="544" spans="3:19" x14ac:dyDescent="0.25">
      <c r="C544" s="1">
        <f t="shared" si="565"/>
        <v>44006</v>
      </c>
      <c r="D544">
        <v>63528</v>
      </c>
      <c r="E544">
        <v>37284</v>
      </c>
      <c r="F544">
        <v>26083</v>
      </c>
      <c r="G544">
        <v>20845</v>
      </c>
      <c r="H544">
        <f>'Total Traffic'!D542-'Page Sessions'!D544</f>
        <v>67163</v>
      </c>
      <c r="I544" s="2">
        <f t="shared" si="560"/>
        <v>0.32812303236368218</v>
      </c>
      <c r="J544" s="2">
        <f t="shared" si="572"/>
        <v>1.1844063714892439E-2</v>
      </c>
      <c r="K544" s="2">
        <f>D544/'Total Traffic'!D542</f>
        <v>0.48609315102034573</v>
      </c>
      <c r="L544" s="5">
        <f t="shared" si="561"/>
        <v>0.58689081979599544</v>
      </c>
      <c r="M544" s="5">
        <f t="shared" si="562"/>
        <v>0.6995762257268533</v>
      </c>
      <c r="N544" s="5">
        <f t="shared" si="563"/>
        <v>0.79917954223057164</v>
      </c>
      <c r="O544" s="5">
        <f t="shared" si="573"/>
        <v>3.0520951524476203E-2</v>
      </c>
      <c r="P544" s="2">
        <f t="shared" ref="P544:R544" si="594">(L544/L537)-1</f>
        <v>-2.0688330622612217E-2</v>
      </c>
      <c r="Q544" s="2">
        <f t="shared" si="594"/>
        <v>1.9503199223993795E-2</v>
      </c>
      <c r="R544" s="2">
        <f t="shared" si="594"/>
        <v>1.3454057131931485E-2</v>
      </c>
      <c r="S544" s="3"/>
    </row>
    <row r="545" spans="3:19" x14ac:dyDescent="0.25">
      <c r="C545" s="1">
        <f t="shared" si="565"/>
        <v>44007</v>
      </c>
      <c r="D545">
        <v>63109</v>
      </c>
      <c r="E545">
        <v>37859</v>
      </c>
      <c r="F545">
        <v>25687</v>
      </c>
      <c r="G545">
        <v>19881</v>
      </c>
      <c r="H545">
        <f>'Total Traffic'!D543-'Page Sessions'!D545</f>
        <v>67579</v>
      </c>
      <c r="I545" s="2">
        <f t="shared" si="560"/>
        <v>0.31502638292478091</v>
      </c>
      <c r="J545" s="2">
        <f t="shared" si="572"/>
        <v>1.6940722115179607E-3</v>
      </c>
      <c r="K545" s="2">
        <f>D545/'Total Traffic'!D543</f>
        <v>0.48289820029382957</v>
      </c>
      <c r="L545" s="5">
        <f t="shared" si="561"/>
        <v>0.59989858815699826</v>
      </c>
      <c r="M545" s="5">
        <f t="shared" si="562"/>
        <v>0.67849124382577464</v>
      </c>
      <c r="N545" s="5">
        <f t="shared" si="563"/>
        <v>0.77397126951376183</v>
      </c>
      <c r="O545" s="5">
        <f t="shared" si="573"/>
        <v>-2.5220805845375782E-2</v>
      </c>
      <c r="P545" s="2">
        <f t="shared" ref="P545:R545" si="595">(L545/L538)-1</f>
        <v>3.1479270100234213E-2</v>
      </c>
      <c r="Q545" s="2">
        <f t="shared" si="595"/>
        <v>-2.8620483604613001E-2</v>
      </c>
      <c r="R545" s="2">
        <f t="shared" si="595"/>
        <v>-2.632469563248474E-4</v>
      </c>
      <c r="S545" s="3"/>
    </row>
    <row r="546" spans="3:19" x14ac:dyDescent="0.25">
      <c r="C546" s="1">
        <f t="shared" si="565"/>
        <v>44008</v>
      </c>
      <c r="D546">
        <v>65000</v>
      </c>
      <c r="E546">
        <v>37420</v>
      </c>
      <c r="F546">
        <v>26182</v>
      </c>
      <c r="G546">
        <v>20411</v>
      </c>
      <c r="H546">
        <f>'Total Traffic'!D544-'Page Sessions'!D546</f>
        <v>65733</v>
      </c>
      <c r="I546" s="2">
        <f t="shared" si="560"/>
        <v>0.31401538461538464</v>
      </c>
      <c r="J546" s="2">
        <f t="shared" si="572"/>
        <v>3.4073284447248886E-2</v>
      </c>
      <c r="K546" s="2">
        <f>D546/'Total Traffic'!D544</f>
        <v>0.49719657622788432</v>
      </c>
      <c r="L546" s="5">
        <f t="shared" si="561"/>
        <v>0.57569230769230773</v>
      </c>
      <c r="M546" s="5">
        <f t="shared" si="562"/>
        <v>0.69967931587386423</v>
      </c>
      <c r="N546" s="5">
        <f t="shared" si="563"/>
        <v>0.77958139179589026</v>
      </c>
      <c r="O546" s="5">
        <f t="shared" si="573"/>
        <v>5.6628286919615523E-3</v>
      </c>
      <c r="P546" s="2">
        <f t="shared" ref="P546:R546" si="596">(L546/L539)-1</f>
        <v>8.5850841124612831E-3</v>
      </c>
      <c r="Q546" s="2">
        <f t="shared" si="596"/>
        <v>2.0420988346718794E-2</v>
      </c>
      <c r="R546" s="2">
        <f t="shared" si="596"/>
        <v>4.7531913623497513E-3</v>
      </c>
      <c r="S546" s="3"/>
    </row>
    <row r="547" spans="3:19" x14ac:dyDescent="0.25">
      <c r="C547" s="1">
        <f t="shared" si="565"/>
        <v>44009</v>
      </c>
      <c r="D547">
        <v>62547</v>
      </c>
      <c r="E547">
        <v>37340</v>
      </c>
      <c r="F547">
        <v>25088</v>
      </c>
      <c r="G547">
        <v>19347</v>
      </c>
      <c r="H547">
        <f>'Total Traffic'!D545-'Page Sessions'!D547</f>
        <v>67734</v>
      </c>
      <c r="I547" s="2">
        <f t="shared" si="560"/>
        <v>0.30931939181735335</v>
      </c>
      <c r="J547" s="2">
        <f t="shared" si="572"/>
        <v>2.5175089085805125E-2</v>
      </c>
      <c r="K547" s="2">
        <f>D547/'Total Traffic'!D545</f>
        <v>0.48009302968199508</v>
      </c>
      <c r="L547" s="5">
        <f t="shared" si="561"/>
        <v>0.59699106272083391</v>
      </c>
      <c r="M547" s="5">
        <f t="shared" si="562"/>
        <v>0.67188002142474557</v>
      </c>
      <c r="N547" s="5">
        <f t="shared" si="563"/>
        <v>0.77116549744897955</v>
      </c>
      <c r="O547" s="5">
        <f t="shared" si="573"/>
        <v>-3.7117244111145808E-2</v>
      </c>
      <c r="P547" s="2">
        <f t="shared" ref="P547:R547" si="597">(L547/L540)-1</f>
        <v>4.7173140652726042E-2</v>
      </c>
      <c r="Q547" s="2">
        <f t="shared" si="597"/>
        <v>-2.8236383449189439E-3</v>
      </c>
      <c r="R547" s="2">
        <f t="shared" si="597"/>
        <v>-1.8234932062537679E-2</v>
      </c>
      <c r="S547" s="3"/>
    </row>
    <row r="548" spans="3:19" x14ac:dyDescent="0.25">
      <c r="C548" s="1">
        <f t="shared" si="565"/>
        <v>44010</v>
      </c>
      <c r="D548">
        <v>64291</v>
      </c>
      <c r="E548">
        <v>37635</v>
      </c>
      <c r="F548">
        <v>25290</v>
      </c>
      <c r="G548">
        <v>20135</v>
      </c>
      <c r="H548">
        <f>'Total Traffic'!D546-'Page Sessions'!D548</f>
        <v>66223</v>
      </c>
      <c r="I548" s="2">
        <f t="shared" si="560"/>
        <v>0.31318536031481858</v>
      </c>
      <c r="J548" s="2">
        <f t="shared" si="572"/>
        <v>3.2549913782625728E-2</v>
      </c>
      <c r="K548" s="2">
        <f>D548/'Total Traffic'!D546</f>
        <v>0.49259849518059368</v>
      </c>
      <c r="L548" s="5">
        <f t="shared" si="561"/>
        <v>0.58538520166119679</v>
      </c>
      <c r="M548" s="5">
        <f t="shared" si="562"/>
        <v>0.67198086887206054</v>
      </c>
      <c r="N548" s="5">
        <f t="shared" si="563"/>
        <v>0.79616449189402927</v>
      </c>
      <c r="O548" s="5">
        <f t="shared" si="573"/>
        <v>4.0789862859936799E-2</v>
      </c>
      <c r="P548" s="2">
        <f t="shared" ref="P548:R548" si="598">(L548/L541)-1</f>
        <v>1.0012615829650962E-3</v>
      </c>
      <c r="Q548" s="2">
        <f t="shared" si="598"/>
        <v>2.9499325112025687E-4</v>
      </c>
      <c r="R548" s="2">
        <f t="shared" si="598"/>
        <v>3.1212894498541477E-2</v>
      </c>
      <c r="S548" s="3"/>
    </row>
    <row r="549" spans="3:19" x14ac:dyDescent="0.25">
      <c r="C549" s="1">
        <f t="shared" si="565"/>
        <v>44011</v>
      </c>
      <c r="D549">
        <v>61925</v>
      </c>
      <c r="E549">
        <v>35470</v>
      </c>
      <c r="F549">
        <v>23839</v>
      </c>
      <c r="G549">
        <v>18599</v>
      </c>
      <c r="H549">
        <f>'Total Traffic'!D547-'Page Sessions'!D549</f>
        <v>69079</v>
      </c>
      <c r="I549" s="2">
        <f t="shared" si="560"/>
        <v>0.30034719418651595</v>
      </c>
      <c r="J549" s="2">
        <f t="shared" si="572"/>
        <v>-6.0774220851929295E-2</v>
      </c>
      <c r="K549" s="2">
        <f>D549/'Total Traffic'!D547</f>
        <v>0.47269549021403928</v>
      </c>
      <c r="L549" s="5">
        <f t="shared" si="561"/>
        <v>0.57278966491723859</v>
      </c>
      <c r="M549" s="5">
        <f t="shared" si="562"/>
        <v>0.67208908937129974</v>
      </c>
      <c r="N549" s="5">
        <f t="shared" si="563"/>
        <v>0.78019212215277489</v>
      </c>
      <c r="O549" s="5">
        <f t="shared" si="573"/>
        <v>-3.8251728456366596E-2</v>
      </c>
      <c r="P549" s="2">
        <f t="shared" ref="P549:R549" si="599">(L549/L542)-1</f>
        <v>-2.8508853607227991E-2</v>
      </c>
      <c r="Q549" s="2">
        <f t="shared" si="599"/>
        <v>-3.1986884154281858E-2</v>
      </c>
      <c r="R549" s="2">
        <f t="shared" si="599"/>
        <v>-1.2658145659640851E-3</v>
      </c>
      <c r="S549" s="3"/>
    </row>
    <row r="550" spans="3:19" x14ac:dyDescent="0.25">
      <c r="C550" s="1">
        <f t="shared" si="565"/>
        <v>44012</v>
      </c>
      <c r="D550">
        <v>61655</v>
      </c>
      <c r="E550">
        <v>36265</v>
      </c>
      <c r="F550">
        <v>24500</v>
      </c>
      <c r="G550">
        <v>19521</v>
      </c>
      <c r="H550">
        <f>'Total Traffic'!D548-'Page Sessions'!D550</f>
        <v>69165</v>
      </c>
      <c r="I550" s="2">
        <f t="shared" si="560"/>
        <v>0.31661665720541726</v>
      </c>
      <c r="J550" s="2">
        <f t="shared" si="572"/>
        <v>1.8546849694683907</v>
      </c>
      <c r="K550" s="2">
        <f>D550/'Total Traffic'!D548</f>
        <v>0.4712964378535392</v>
      </c>
      <c r="L550" s="5">
        <f t="shared" si="561"/>
        <v>0.5881923607168924</v>
      </c>
      <c r="M550" s="5">
        <f t="shared" si="562"/>
        <v>0.67558251757893284</v>
      </c>
      <c r="N550" s="5">
        <f t="shared" si="563"/>
        <v>0.79677551020408166</v>
      </c>
      <c r="O550" s="5">
        <f t="shared" si="573"/>
        <v>-3.0449339879208392E-2</v>
      </c>
      <c r="P550" s="2">
        <f t="shared" ref="P550:R550" si="600">(L550/L543)-1</f>
        <v>-1.3087001656480912E-2</v>
      </c>
      <c r="Q550" s="2">
        <f t="shared" si="600"/>
        <v>7.2801196650169597E-3</v>
      </c>
      <c r="R550" s="2">
        <f t="shared" si="600"/>
        <v>1.8716338028169015</v>
      </c>
      <c r="S550" s="3"/>
    </row>
    <row r="551" spans="3:19" x14ac:dyDescent="0.25">
      <c r="C551" s="1">
        <f t="shared" si="565"/>
        <v>44013</v>
      </c>
      <c r="D551">
        <v>64632</v>
      </c>
      <c r="E551">
        <v>13084</v>
      </c>
      <c r="F551">
        <v>8821</v>
      </c>
      <c r="G551">
        <v>6881</v>
      </c>
      <c r="H551">
        <f>'Total Traffic'!D549-'Page Sessions'!D551</f>
        <v>66018</v>
      </c>
      <c r="I551" s="2">
        <f t="shared" si="560"/>
        <v>0.10646429013491769</v>
      </c>
      <c r="J551" s="2">
        <f t="shared" si="572"/>
        <v>-0.67553545580757735</v>
      </c>
      <c r="K551" s="2">
        <f>D551/'Total Traffic'!D549</f>
        <v>0.49469575200918486</v>
      </c>
      <c r="L551" s="5">
        <f t="shared" si="561"/>
        <v>0.20243842059660849</v>
      </c>
      <c r="M551" s="5">
        <f t="shared" si="562"/>
        <v>0.67418220727606237</v>
      </c>
      <c r="N551" s="5">
        <f t="shared" si="563"/>
        <v>0.78007028681555379</v>
      </c>
      <c r="O551" s="5">
        <f t="shared" si="573"/>
        <v>1.7697433034762344E-2</v>
      </c>
      <c r="P551" s="2">
        <f t="shared" ref="P551:R551" si="601">(L551/L544)-1</f>
        <v>-0.65506630233715946</v>
      </c>
      <c r="Q551" s="2">
        <f t="shared" si="601"/>
        <v>-3.6299144420476548E-2</v>
      </c>
      <c r="R551" s="2">
        <f t="shared" si="601"/>
        <v>-2.3911091820096431E-2</v>
      </c>
      <c r="S551" s="3"/>
    </row>
    <row r="552" spans="3:19" x14ac:dyDescent="0.25">
      <c r="C552" s="1">
        <f t="shared" si="565"/>
        <v>44014</v>
      </c>
      <c r="D552">
        <v>64375</v>
      </c>
      <c r="E552">
        <v>38290</v>
      </c>
      <c r="F552">
        <v>25830</v>
      </c>
      <c r="G552">
        <v>19971</v>
      </c>
      <c r="H552">
        <f>'Total Traffic'!D550-'Page Sessions'!D552</f>
        <v>65967</v>
      </c>
      <c r="I552" s="2">
        <f t="shared" si="560"/>
        <v>0.31022912621359222</v>
      </c>
      <c r="J552" s="2">
        <f t="shared" si="572"/>
        <v>-1.5228110949469742E-2</v>
      </c>
      <c r="K552" s="2">
        <f>D552/'Total Traffic'!D550</f>
        <v>0.49389298921299352</v>
      </c>
      <c r="L552" s="5">
        <f t="shared" si="561"/>
        <v>0.59479611650485442</v>
      </c>
      <c r="M552" s="5">
        <f t="shared" si="562"/>
        <v>0.67458866544789764</v>
      </c>
      <c r="N552" s="5">
        <f t="shared" si="563"/>
        <v>0.77317073170731709</v>
      </c>
      <c r="O552" s="5">
        <f t="shared" si="573"/>
        <v>2.2768336913399079E-2</v>
      </c>
      <c r="P552" s="2">
        <f t="shared" ref="P552:R552" si="602">(L552/L545)-1</f>
        <v>-8.5055570272628556E-3</v>
      </c>
      <c r="Q552" s="2">
        <f t="shared" si="602"/>
        <v>-5.751847814382538E-3</v>
      </c>
      <c r="R552" s="2">
        <f t="shared" si="602"/>
        <v>-1.034324965250577E-3</v>
      </c>
      <c r="S552" s="3"/>
    </row>
    <row r="553" spans="3:19" x14ac:dyDescent="0.25">
      <c r="C553" s="1">
        <f t="shared" si="565"/>
        <v>44015</v>
      </c>
      <c r="D553">
        <v>63092</v>
      </c>
      <c r="E553">
        <v>36751</v>
      </c>
      <c r="F553">
        <v>24670</v>
      </c>
      <c r="G553">
        <v>19109</v>
      </c>
      <c r="H553">
        <f>'Total Traffic'!D551-'Page Sessions'!D553</f>
        <v>67453</v>
      </c>
      <c r="I553" s="2">
        <f t="shared" si="560"/>
        <v>0.30287516642363532</v>
      </c>
      <c r="J553" s="2">
        <f t="shared" si="572"/>
        <v>-3.5476663684469445E-2</v>
      </c>
      <c r="K553" s="2">
        <f>D553/'Total Traffic'!D551</f>
        <v>0.48329694741276952</v>
      </c>
      <c r="L553" s="5">
        <f t="shared" si="561"/>
        <v>0.5824985735116972</v>
      </c>
      <c r="M553" s="5">
        <f t="shared" si="562"/>
        <v>0.67127425104078797</v>
      </c>
      <c r="N553" s="5">
        <f t="shared" si="563"/>
        <v>0.77458451560599917</v>
      </c>
      <c r="O553" s="5">
        <f t="shared" si="573"/>
        <v>-2.7956002675175395E-2</v>
      </c>
      <c r="P553" s="2">
        <f t="shared" ref="P553:R553" si="603">(L553/L546)-1</f>
        <v>1.1822749285417267E-2</v>
      </c>
      <c r="Q553" s="2">
        <f t="shared" si="603"/>
        <v>-4.0597262472451101E-2</v>
      </c>
      <c r="R553" s="2">
        <f t="shared" si="603"/>
        <v>-6.4096914606696087E-3</v>
      </c>
      <c r="S553" s="3"/>
    </row>
    <row r="554" spans="3:19" x14ac:dyDescent="0.25">
      <c r="C554" s="1">
        <f t="shared" si="565"/>
        <v>44016</v>
      </c>
      <c r="D554">
        <v>62516</v>
      </c>
      <c r="E554">
        <v>36759</v>
      </c>
      <c r="F554">
        <v>25393</v>
      </c>
      <c r="G554">
        <v>19976</v>
      </c>
      <c r="H554">
        <f>'Total Traffic'!D552-'Page Sessions'!D554</f>
        <v>67699</v>
      </c>
      <c r="I554" s="2">
        <f t="shared" si="560"/>
        <v>0.31953419924499327</v>
      </c>
      <c r="J554" s="2">
        <f t="shared" si="572"/>
        <v>3.3023495124649527E-2</v>
      </c>
      <c r="K554" s="2">
        <f>D554/'Total Traffic'!D552</f>
        <v>0.48009829896709288</v>
      </c>
      <c r="L554" s="5">
        <f t="shared" si="561"/>
        <v>0.58799347367074029</v>
      </c>
      <c r="M554" s="5">
        <f t="shared" si="562"/>
        <v>0.69079681166517048</v>
      </c>
      <c r="N554" s="5">
        <f t="shared" si="563"/>
        <v>0.78667349269483711</v>
      </c>
      <c r="O554" s="5">
        <f t="shared" si="573"/>
        <v>1.0975550095659869E-5</v>
      </c>
      <c r="P554" s="2">
        <f t="shared" ref="P554:R554" si="604">(L554/L547)-1</f>
        <v>-1.5071564068457555E-2</v>
      </c>
      <c r="Q554" s="2">
        <f t="shared" si="604"/>
        <v>2.8155012259943657E-2</v>
      </c>
      <c r="R554" s="2">
        <f t="shared" si="604"/>
        <v>2.0109814685898231E-2</v>
      </c>
      <c r="S554" s="3"/>
    </row>
    <row r="555" spans="3:19" x14ac:dyDescent="0.25">
      <c r="C555" s="1">
        <f t="shared" si="565"/>
        <v>44017</v>
      </c>
      <c r="D555">
        <v>63253</v>
      </c>
      <c r="E555">
        <v>36560</v>
      </c>
      <c r="F555">
        <v>24791</v>
      </c>
      <c r="G555">
        <v>19138</v>
      </c>
      <c r="H555">
        <f>'Total Traffic'!D553-'Page Sessions'!D555</f>
        <v>67221</v>
      </c>
      <c r="I555" s="2">
        <f t="shared" si="560"/>
        <v>0.30256272429766179</v>
      </c>
      <c r="J555" s="2">
        <f t="shared" si="572"/>
        <v>-3.391804778639318E-2</v>
      </c>
      <c r="K555" s="2">
        <f>D555/'Total Traffic'!D553</f>
        <v>0.48479390529914007</v>
      </c>
      <c r="L555" s="5">
        <f t="shared" si="561"/>
        <v>0.57799630057072393</v>
      </c>
      <c r="M555" s="5">
        <f t="shared" si="562"/>
        <v>0.67809080962800872</v>
      </c>
      <c r="N555" s="5">
        <f t="shared" si="563"/>
        <v>0.77197370013311284</v>
      </c>
      <c r="O555" s="5">
        <f t="shared" si="573"/>
        <v>-1.5843714420183841E-2</v>
      </c>
      <c r="P555" s="2">
        <f t="shared" ref="P555:R555" si="605">(L555/L548)-1</f>
        <v>-1.2622288827091599E-2</v>
      </c>
      <c r="Q555" s="2">
        <f t="shared" si="605"/>
        <v>9.0924325958920971E-3</v>
      </c>
      <c r="R555" s="2">
        <f t="shared" si="605"/>
        <v>-3.0384163080882876E-2</v>
      </c>
      <c r="S555" s="3"/>
    </row>
    <row r="556" spans="3:19" x14ac:dyDescent="0.25">
      <c r="C556" s="1">
        <f t="shared" si="565"/>
        <v>44018</v>
      </c>
      <c r="D556">
        <v>61607</v>
      </c>
      <c r="E556">
        <v>35707</v>
      </c>
      <c r="F556">
        <v>23952</v>
      </c>
      <c r="G556">
        <v>18732</v>
      </c>
      <c r="H556">
        <f>'Total Traffic'!D554-'Page Sessions'!D556</f>
        <v>68697</v>
      </c>
      <c r="I556" s="2">
        <f t="shared" si="560"/>
        <v>0.3040563572321327</v>
      </c>
      <c r="J556" s="2">
        <f t="shared" si="572"/>
        <v>1.2349584472273634E-2</v>
      </c>
      <c r="K556" s="2">
        <f>D556/'Total Traffic'!D554</f>
        <v>0.47279438850687622</v>
      </c>
      <c r="L556" s="5">
        <f t="shared" si="561"/>
        <v>0.57959322804226787</v>
      </c>
      <c r="M556" s="5">
        <f t="shared" si="562"/>
        <v>0.67079284173971487</v>
      </c>
      <c r="N556" s="5">
        <f t="shared" si="563"/>
        <v>0.78206412825651306</v>
      </c>
      <c r="O556" s="5">
        <f t="shared" si="573"/>
        <v>2.0922199361828042E-4</v>
      </c>
      <c r="P556" s="2">
        <f t="shared" ref="P556:R556" si="606">(L556/L549)-1</f>
        <v>1.1877943234210209E-2</v>
      </c>
      <c r="Q556" s="2">
        <f t="shared" si="606"/>
        <v>-1.9286842355935585E-3</v>
      </c>
      <c r="R556" s="2">
        <f t="shared" si="606"/>
        <v>2.3994168238623548E-3</v>
      </c>
      <c r="S556" s="3"/>
    </row>
    <row r="557" spans="3:19" x14ac:dyDescent="0.25">
      <c r="C557" s="1">
        <f t="shared" si="565"/>
        <v>44019</v>
      </c>
      <c r="D557">
        <v>63730</v>
      </c>
      <c r="E557">
        <v>37441</v>
      </c>
      <c r="F557">
        <v>25774</v>
      </c>
      <c r="G557">
        <v>20472</v>
      </c>
      <c r="H557">
        <f>'Total Traffic'!D555-'Page Sessions'!D557</f>
        <v>66651</v>
      </c>
      <c r="I557" s="2">
        <f t="shared" si="560"/>
        <v>0.32123018986348656</v>
      </c>
      <c r="J557" s="2">
        <f t="shared" si="572"/>
        <v>1.4571351674261601E-2</v>
      </c>
      <c r="K557" s="2">
        <f>D557/'Total Traffic'!D555</f>
        <v>0.48879821446376387</v>
      </c>
      <c r="L557" s="5">
        <f t="shared" si="561"/>
        <v>0.58749411580103561</v>
      </c>
      <c r="M557" s="5">
        <f t="shared" si="562"/>
        <v>0.68838973318020347</v>
      </c>
      <c r="N557" s="5">
        <f t="shared" si="563"/>
        <v>0.79428881818887254</v>
      </c>
      <c r="O557" s="5">
        <f t="shared" si="573"/>
        <v>3.7135389119286266E-2</v>
      </c>
      <c r="P557" s="2">
        <f t="shared" ref="P557:R557" si="607">(L557/L550)-1</f>
        <v>-1.1871029997835292E-3</v>
      </c>
      <c r="Q557" s="2">
        <f t="shared" si="607"/>
        <v>1.8957292807350257E-2</v>
      </c>
      <c r="R557" s="2">
        <f t="shared" si="607"/>
        <v>-3.1209443354656141E-3</v>
      </c>
      <c r="S557" s="3"/>
    </row>
    <row r="558" spans="3:19" x14ac:dyDescent="0.25">
      <c r="C558" s="1">
        <f t="shared" si="565"/>
        <v>44020</v>
      </c>
      <c r="D558">
        <v>61278</v>
      </c>
      <c r="E558">
        <v>35014</v>
      </c>
      <c r="F558">
        <v>23872</v>
      </c>
      <c r="G558">
        <v>18555</v>
      </c>
      <c r="H558">
        <f>'Total Traffic'!D556-'Page Sessions'!D558</f>
        <v>68936</v>
      </c>
      <c r="I558" s="2">
        <f t="shared" si="560"/>
        <v>0.30280035249192205</v>
      </c>
      <c r="J558" s="2">
        <f t="shared" si="572"/>
        <v>1.8441494524426543</v>
      </c>
      <c r="K558" s="2">
        <f>D558/'Total Traffic'!D556</f>
        <v>0.47059455972476077</v>
      </c>
      <c r="L558" s="5">
        <f t="shared" si="561"/>
        <v>0.57139593328763993</v>
      </c>
      <c r="M558" s="5">
        <f t="shared" si="562"/>
        <v>0.68178442908550863</v>
      </c>
      <c r="N558" s="5">
        <f t="shared" si="563"/>
        <v>0.77727044235924936</v>
      </c>
      <c r="O558" s="5">
        <f t="shared" si="573"/>
        <v>-4.8719222242233018E-2</v>
      </c>
      <c r="P558" s="2">
        <f t="shared" ref="P558:R558" si="608">(L558/L551)-1</f>
        <v>1.8225666432472289</v>
      </c>
      <c r="Q558" s="2">
        <f t="shared" si="608"/>
        <v>1.1276212465116675E-2</v>
      </c>
      <c r="R558" s="2">
        <f t="shared" si="608"/>
        <v>-3.5892207453948055E-3</v>
      </c>
      <c r="S558" s="3"/>
    </row>
    <row r="559" spans="3:19" x14ac:dyDescent="0.25">
      <c r="C559" s="1">
        <f t="shared" si="565"/>
        <v>44021</v>
      </c>
      <c r="D559">
        <v>64924</v>
      </c>
      <c r="E559">
        <v>37857</v>
      </c>
      <c r="F559">
        <v>25720</v>
      </c>
      <c r="G559">
        <v>20030</v>
      </c>
      <c r="H559">
        <f>'Total Traffic'!D557-'Page Sessions'!D559</f>
        <v>65630</v>
      </c>
      <c r="I559" s="2">
        <f t="shared" si="560"/>
        <v>0.30851457088287843</v>
      </c>
      <c r="J559" s="2">
        <f t="shared" si="572"/>
        <v>-5.5267387419107861E-3</v>
      </c>
      <c r="K559" s="2">
        <f>D559/'Total Traffic'!D557</f>
        <v>0.49729613799653782</v>
      </c>
      <c r="L559" s="5">
        <f t="shared" si="561"/>
        <v>0.58309715975602239</v>
      </c>
      <c r="M559" s="5">
        <f t="shared" si="562"/>
        <v>0.67939879018411387</v>
      </c>
      <c r="N559" s="5">
        <f t="shared" si="563"/>
        <v>0.77877138413685842</v>
      </c>
      <c r="O559" s="5">
        <f t="shared" si="573"/>
        <v>6.8904577669084421E-3</v>
      </c>
      <c r="P559" s="2">
        <f t="shared" ref="P559:R559" si="609">(L559/L552)-1</f>
        <v>-1.9668851938001053E-2</v>
      </c>
      <c r="Q559" s="2">
        <f t="shared" si="609"/>
        <v>7.1304559097840059E-3</v>
      </c>
      <c r="R559" s="2">
        <f t="shared" si="609"/>
        <v>7.2437460445171631E-3</v>
      </c>
      <c r="S559" s="3"/>
    </row>
    <row r="560" spans="3:19" x14ac:dyDescent="0.25">
      <c r="C560" s="1">
        <f t="shared" si="565"/>
        <v>44022</v>
      </c>
      <c r="D560">
        <v>64037</v>
      </c>
      <c r="E560">
        <v>37544</v>
      </c>
      <c r="F560">
        <v>26059</v>
      </c>
      <c r="G560">
        <v>20524</v>
      </c>
      <c r="H560">
        <f>'Total Traffic'!D558-'Page Sessions'!D560</f>
        <v>66360</v>
      </c>
      <c r="I560" s="2">
        <f t="shared" si="560"/>
        <v>0.32050220966004028</v>
      </c>
      <c r="J560" s="2">
        <f t="shared" si="572"/>
        <v>5.8199037724175007E-2</v>
      </c>
      <c r="K560" s="2">
        <f>D560/'Total Traffic'!D558</f>
        <v>0.49109258648588539</v>
      </c>
      <c r="L560" s="5">
        <f t="shared" si="561"/>
        <v>0.5862860533753923</v>
      </c>
      <c r="M560" s="5">
        <f t="shared" si="562"/>
        <v>0.69409226507564459</v>
      </c>
      <c r="N560" s="5">
        <f t="shared" si="563"/>
        <v>0.78759737518707551</v>
      </c>
      <c r="O560" s="5">
        <f t="shared" si="573"/>
        <v>1.6130122722372242E-2</v>
      </c>
      <c r="P560" s="2">
        <f t="shared" ref="P560:R560" si="610">(L560/L553)-1</f>
        <v>6.5021272770877658E-3</v>
      </c>
      <c r="Q560" s="2">
        <f t="shared" si="610"/>
        <v>3.3992088925618891E-2</v>
      </c>
      <c r="R560" s="2">
        <f t="shared" si="610"/>
        <v>1.6799793074737224E-2</v>
      </c>
      <c r="S560" s="3"/>
    </row>
    <row r="561" spans="3:19" x14ac:dyDescent="0.25">
      <c r="C561" s="1">
        <f t="shared" si="565"/>
        <v>44023</v>
      </c>
      <c r="D561">
        <v>65288</v>
      </c>
      <c r="E561">
        <v>37599</v>
      </c>
      <c r="F561">
        <v>25330</v>
      </c>
      <c r="G561">
        <v>19911</v>
      </c>
      <c r="H561">
        <f>'Total Traffic'!D559-'Page Sessions'!D561</f>
        <v>65525</v>
      </c>
      <c r="I561" s="2">
        <f t="shared" si="560"/>
        <v>0.30497181717926725</v>
      </c>
      <c r="J561" s="2">
        <f t="shared" si="572"/>
        <v>-4.5573782399926266E-2</v>
      </c>
      <c r="K561" s="2">
        <f>D561/'Total Traffic'!D559</f>
        <v>0.49909412673052372</v>
      </c>
      <c r="L561" s="5">
        <f t="shared" si="561"/>
        <v>0.575894498223257</v>
      </c>
      <c r="M561" s="5">
        <f t="shared" si="562"/>
        <v>0.67368813000345751</v>
      </c>
      <c r="N561" s="5">
        <f t="shared" si="563"/>
        <v>0.78606395578365573</v>
      </c>
      <c r="O561" s="5">
        <f t="shared" si="573"/>
        <v>3.9566538361621717E-2</v>
      </c>
      <c r="P561" s="2">
        <f t="shared" ref="P561:R561" si="611">(L561/L554)-1</f>
        <v>-2.0576717241352238E-2</v>
      </c>
      <c r="Q561" s="2">
        <f t="shared" si="611"/>
        <v>-2.4766590367538588E-2</v>
      </c>
      <c r="R561" s="2">
        <f t="shared" si="611"/>
        <v>-7.7482833328135214E-4</v>
      </c>
      <c r="S561" s="3"/>
    </row>
    <row r="562" spans="3:19" x14ac:dyDescent="0.25">
      <c r="C562" s="1">
        <f t="shared" si="565"/>
        <v>44024</v>
      </c>
      <c r="D562">
        <v>62613</v>
      </c>
      <c r="E562">
        <v>36816</v>
      </c>
      <c r="F562">
        <v>25723</v>
      </c>
      <c r="G562">
        <v>20447</v>
      </c>
      <c r="H562">
        <f>'Total Traffic'!D560-'Page Sessions'!D562</f>
        <v>67941</v>
      </c>
      <c r="I562" s="2">
        <f t="shared" si="560"/>
        <v>0.32656157666938174</v>
      </c>
      <c r="J562" s="2">
        <f t="shared" si="572"/>
        <v>7.93186022086112E-2</v>
      </c>
      <c r="K562" s="2">
        <f>D562/'Total Traffic'!D560</f>
        <v>0.47959465048945266</v>
      </c>
      <c r="L562" s="5">
        <f t="shared" si="561"/>
        <v>0.58799290882085187</v>
      </c>
      <c r="M562" s="5">
        <f t="shared" si="562"/>
        <v>0.69869078661451545</v>
      </c>
      <c r="N562" s="5">
        <f t="shared" si="563"/>
        <v>0.79489173113555966</v>
      </c>
      <c r="O562" s="5">
        <f t="shared" si="573"/>
        <v>-1.0724670324556262E-2</v>
      </c>
      <c r="P562" s="2">
        <f t="shared" ref="P562:R562" si="612">(L562/L555)-1</f>
        <v>1.7295280679577196E-2</v>
      </c>
      <c r="Q562" s="2">
        <f t="shared" si="612"/>
        <v>3.0379377944685038E-2</v>
      </c>
      <c r="R562" s="2">
        <f t="shared" si="612"/>
        <v>2.968758002830274E-2</v>
      </c>
      <c r="S562" s="3"/>
    </row>
    <row r="563" spans="3:19" x14ac:dyDescent="0.25">
      <c r="C563" s="1">
        <f t="shared" si="565"/>
        <v>44025</v>
      </c>
      <c r="D563">
        <v>64267</v>
      </c>
      <c r="E563">
        <v>37127</v>
      </c>
      <c r="F563">
        <v>25684</v>
      </c>
      <c r="G563">
        <v>20292</v>
      </c>
      <c r="H563">
        <f>'Total Traffic'!D561-'Page Sessions'!D563</f>
        <v>66041</v>
      </c>
      <c r="I563" s="2">
        <f t="shared" si="560"/>
        <v>0.31574525028397155</v>
      </c>
      <c r="J563" s="2">
        <f t="shared" si="572"/>
        <v>3.8443179278487838E-2</v>
      </c>
      <c r="K563" s="2">
        <f>D563/'Total Traffic'!D561</f>
        <v>0.49319305031156951</v>
      </c>
      <c r="L563" s="5">
        <f t="shared" si="561"/>
        <v>0.57769928579208618</v>
      </c>
      <c r="M563" s="5">
        <f t="shared" si="562"/>
        <v>0.69178764780348534</v>
      </c>
      <c r="N563" s="5">
        <f t="shared" si="563"/>
        <v>0.79006385298240145</v>
      </c>
      <c r="O563" s="5">
        <f t="shared" si="573"/>
        <v>4.3144889830680766E-2</v>
      </c>
      <c r="P563" s="2">
        <f t="shared" ref="P563:R563" si="613">(L563/L556)-1</f>
        <v>-3.2677094185158406E-3</v>
      </c>
      <c r="Q563" s="2">
        <f t="shared" si="613"/>
        <v>3.1298494493948503E-2</v>
      </c>
      <c r="R563" s="2">
        <f t="shared" si="613"/>
        <v>1.0228988182493959E-2</v>
      </c>
      <c r="S563" s="3"/>
    </row>
    <row r="564" spans="3:19" x14ac:dyDescent="0.25">
      <c r="C564" s="1">
        <f t="shared" si="565"/>
        <v>44026</v>
      </c>
      <c r="D564">
        <v>62272</v>
      </c>
      <c r="E564">
        <v>36043</v>
      </c>
      <c r="F564">
        <v>24311</v>
      </c>
      <c r="G564">
        <v>18986</v>
      </c>
      <c r="H564">
        <f>'Total Traffic'!D562-'Page Sessions'!D564</f>
        <v>68005</v>
      </c>
      <c r="I564" s="2">
        <f t="shared" si="560"/>
        <v>0.30488823227132578</v>
      </c>
      <c r="J564" s="2">
        <f t="shared" si="572"/>
        <v>-5.0873044028351244E-2</v>
      </c>
      <c r="K564" s="2">
        <f>D564/'Total Traffic'!D562</f>
        <v>0.47799688356348397</v>
      </c>
      <c r="L564" s="5">
        <f t="shared" si="561"/>
        <v>0.57879946043165464</v>
      </c>
      <c r="M564" s="5">
        <f t="shared" si="562"/>
        <v>0.67449990289376582</v>
      </c>
      <c r="N564" s="5">
        <f t="shared" si="563"/>
        <v>0.78096334992390271</v>
      </c>
      <c r="O564" s="5">
        <f t="shared" si="573"/>
        <v>-2.2097729862064819E-2</v>
      </c>
      <c r="P564" s="2">
        <f t="shared" ref="P564:R564" si="614">(L564/L557)-1</f>
        <v>-1.4799561622035995E-2</v>
      </c>
      <c r="Q564" s="2">
        <f t="shared" si="614"/>
        <v>-2.0177276936234612E-2</v>
      </c>
      <c r="R564" s="2">
        <f t="shared" si="614"/>
        <v>-1.677660311944762E-2</v>
      </c>
      <c r="S564" s="3"/>
    </row>
    <row r="565" spans="3:19" x14ac:dyDescent="0.25">
      <c r="C565" s="1">
        <f t="shared" si="565"/>
        <v>44027</v>
      </c>
      <c r="D565">
        <v>64818</v>
      </c>
      <c r="E565">
        <v>38229</v>
      </c>
      <c r="F565">
        <v>26580</v>
      </c>
      <c r="G565">
        <v>20594</v>
      </c>
      <c r="H565">
        <f>'Total Traffic'!D563-'Page Sessions'!D565</f>
        <v>65445</v>
      </c>
      <c r="I565" s="2">
        <f t="shared" si="560"/>
        <v>0.31772038631244409</v>
      </c>
      <c r="J565" s="2">
        <f t="shared" si="572"/>
        <v>4.9273502153271309E-2</v>
      </c>
      <c r="K565" s="2">
        <f>D565/'Total Traffic'!D563</f>
        <v>0.49759333041615805</v>
      </c>
      <c r="L565" s="5">
        <f t="shared" si="561"/>
        <v>0.58978987318337495</v>
      </c>
      <c r="M565" s="5">
        <f t="shared" si="562"/>
        <v>0.69528368516048022</v>
      </c>
      <c r="N565" s="5">
        <f t="shared" si="563"/>
        <v>0.77479307750188109</v>
      </c>
      <c r="O565" s="5">
        <f t="shared" si="573"/>
        <v>5.7371616678246751E-2</v>
      </c>
      <c r="P565" s="2">
        <f t="shared" ref="P565:R565" si="615">(L565/L558)-1</f>
        <v>3.2191233476062342E-2</v>
      </c>
      <c r="Q565" s="2">
        <f t="shared" si="615"/>
        <v>1.9799889083824462E-2</v>
      </c>
      <c r="R565" s="2">
        <f t="shared" si="615"/>
        <v>-3.1872624023225882E-3</v>
      </c>
      <c r="S565" s="3"/>
    </row>
    <row r="566" spans="3:19" x14ac:dyDescent="0.25">
      <c r="C566" s="1">
        <f t="shared" si="565"/>
        <v>44028</v>
      </c>
      <c r="D566">
        <v>62157</v>
      </c>
      <c r="E566">
        <v>37219</v>
      </c>
      <c r="F566">
        <v>26053</v>
      </c>
      <c r="G566">
        <v>20336</v>
      </c>
      <c r="H566">
        <f>'Total Traffic'!D564-'Page Sessions'!D566</f>
        <v>67906</v>
      </c>
      <c r="I566" s="2">
        <f t="shared" si="560"/>
        <v>0.32717151728687033</v>
      </c>
      <c r="J566" s="2">
        <f t="shared" si="572"/>
        <v>6.0473469212819264E-2</v>
      </c>
      <c r="K566" s="2">
        <f>D566/'Total Traffic'!D564</f>
        <v>0.47789917193975229</v>
      </c>
      <c r="L566" s="5">
        <f t="shared" si="561"/>
        <v>0.59879016040027677</v>
      </c>
      <c r="M566" s="5">
        <f t="shared" si="562"/>
        <v>0.69999193960074158</v>
      </c>
      <c r="N566" s="5">
        <f t="shared" si="563"/>
        <v>0.78056269911334586</v>
      </c>
      <c r="O566" s="5">
        <f t="shared" si="573"/>
        <v>-3.900485962937561E-2</v>
      </c>
      <c r="P566" s="2">
        <f t="shared" ref="P566:R566" si="616">(L566/L559)-1</f>
        <v>2.6913183131985319E-2</v>
      </c>
      <c r="Q566" s="2">
        <f t="shared" si="616"/>
        <v>3.0310842047639008E-2</v>
      </c>
      <c r="R566" s="2">
        <f t="shared" si="616"/>
        <v>2.3001807885800751E-3</v>
      </c>
      <c r="S566" s="3"/>
    </row>
    <row r="567" spans="3:19" x14ac:dyDescent="0.25">
      <c r="C567" s="1">
        <f t="shared" si="565"/>
        <v>44029</v>
      </c>
      <c r="D567">
        <v>63743</v>
      </c>
      <c r="E567">
        <v>37531</v>
      </c>
      <c r="F567">
        <v>25708</v>
      </c>
      <c r="G567">
        <v>20512</v>
      </c>
      <c r="H567">
        <f>'Total Traffic'!D565-'Page Sessions'!D567</f>
        <v>66638</v>
      </c>
      <c r="I567" s="2">
        <f t="shared" si="560"/>
        <v>0.3217921967902358</v>
      </c>
      <c r="J567" s="2">
        <f t="shared" si="572"/>
        <v>4.0248930937600846E-3</v>
      </c>
      <c r="K567" s="2">
        <f>D567/'Total Traffic'!D565</f>
        <v>0.48889792224327167</v>
      </c>
      <c r="L567" s="5">
        <f t="shared" si="561"/>
        <v>0.58878621966333555</v>
      </c>
      <c r="M567" s="5">
        <f t="shared" si="562"/>
        <v>0.68498041618928351</v>
      </c>
      <c r="N567" s="5">
        <f t="shared" si="563"/>
        <v>0.79788392718220014</v>
      </c>
      <c r="O567" s="5">
        <f t="shared" si="573"/>
        <v>-4.4689419123959961E-3</v>
      </c>
      <c r="P567" s="2">
        <f t="shared" ref="P567:R567" si="617">(L567/L560)-1</f>
        <v>4.2644137167329177E-3</v>
      </c>
      <c r="Q567" s="2">
        <f t="shared" si="617"/>
        <v>-1.3127719965829066E-2</v>
      </c>
      <c r="R567" s="2">
        <f t="shared" si="617"/>
        <v>1.3060673282057733E-2</v>
      </c>
      <c r="S567" s="3"/>
    </row>
    <row r="568" spans="3:19" x14ac:dyDescent="0.25">
      <c r="C568" s="1">
        <f t="shared" si="565"/>
        <v>44030</v>
      </c>
      <c r="D568">
        <v>64447</v>
      </c>
      <c r="E568">
        <v>36812</v>
      </c>
      <c r="F568">
        <v>24943</v>
      </c>
      <c r="G568">
        <v>19762</v>
      </c>
      <c r="H568">
        <f>'Total Traffic'!D566-'Page Sessions'!D568</f>
        <v>65672</v>
      </c>
      <c r="I568" s="2">
        <f t="shared" si="560"/>
        <v>0.3066395642931401</v>
      </c>
      <c r="J568" s="2">
        <f t="shared" si="572"/>
        <v>5.4685286309341663E-3</v>
      </c>
      <c r="K568" s="2">
        <f>D568/'Total Traffic'!D566</f>
        <v>0.49529277046395992</v>
      </c>
      <c r="L568" s="5">
        <f t="shared" si="561"/>
        <v>0.57119803869846542</v>
      </c>
      <c r="M568" s="5">
        <f t="shared" si="562"/>
        <v>0.67757796370748669</v>
      </c>
      <c r="N568" s="5">
        <f t="shared" si="563"/>
        <v>0.79228641302168945</v>
      </c>
      <c r="O568" s="5">
        <f t="shared" si="573"/>
        <v>-7.6165117218786049E-3</v>
      </c>
      <c r="P568" s="2">
        <f t="shared" ref="P568:R568" si="618">(L568/L561)-1</f>
        <v>-8.1550692692516913E-3</v>
      </c>
      <c r="Q568" s="2">
        <f t="shared" si="618"/>
        <v>5.7739383117960674E-3</v>
      </c>
      <c r="R568" s="2">
        <f t="shared" si="618"/>
        <v>7.9159681502383172E-3</v>
      </c>
      <c r="S568" s="3"/>
    </row>
    <row r="569" spans="3:19" x14ac:dyDescent="0.25">
      <c r="C569" s="1">
        <f t="shared" si="565"/>
        <v>44031</v>
      </c>
      <c r="D569">
        <v>64876</v>
      </c>
      <c r="E569">
        <v>38841</v>
      </c>
      <c r="F569">
        <v>26338</v>
      </c>
      <c r="G569">
        <v>20356</v>
      </c>
      <c r="H569">
        <f>'Total Traffic'!D567-'Page Sessions'!D569</f>
        <v>65819</v>
      </c>
      <c r="I569" s="2">
        <f t="shared" si="560"/>
        <v>0.31376780319378506</v>
      </c>
      <c r="J569" s="2">
        <f t="shared" si="572"/>
        <v>-3.9177216150415028E-2</v>
      </c>
      <c r="K569" s="2">
        <f>D569/'Total Traffic'!D567</f>
        <v>0.49639236390068481</v>
      </c>
      <c r="L569" s="5">
        <f t="shared" si="561"/>
        <v>0.59869597385782103</v>
      </c>
      <c r="M569" s="5">
        <f t="shared" si="562"/>
        <v>0.67809788625421585</v>
      </c>
      <c r="N569" s="5">
        <f t="shared" si="563"/>
        <v>0.77287569291517955</v>
      </c>
      <c r="O569" s="5">
        <f t="shared" si="573"/>
        <v>3.5024813963394186E-2</v>
      </c>
      <c r="P569" s="2">
        <f t="shared" ref="P569:R569" si="619">(L569/L562)-1</f>
        <v>1.8202711081044987E-2</v>
      </c>
      <c r="Q569" s="2">
        <f t="shared" si="619"/>
        <v>-2.9473553616016446E-2</v>
      </c>
      <c r="R569" s="2">
        <f t="shared" si="619"/>
        <v>-2.7696901801870122E-2</v>
      </c>
      <c r="S569" s="3"/>
    </row>
    <row r="570" spans="3:19" x14ac:dyDescent="0.25">
      <c r="C570" s="1">
        <f t="shared" si="565"/>
        <v>44032</v>
      </c>
      <c r="D570">
        <v>63396</v>
      </c>
      <c r="E570">
        <v>36509</v>
      </c>
      <c r="F570">
        <v>24844</v>
      </c>
      <c r="G570">
        <v>19509</v>
      </c>
      <c r="H570">
        <f>'Total Traffic'!D568-'Page Sessions'!D570</f>
        <v>67076</v>
      </c>
      <c r="I570" s="2">
        <f t="shared" si="560"/>
        <v>0.30773234904410374</v>
      </c>
      <c r="J570" s="2">
        <f t="shared" si="572"/>
        <v>-2.5377741177931457E-2</v>
      </c>
      <c r="K570" s="2">
        <f>D570/'Total Traffic'!D568</f>
        <v>0.48589735728738731</v>
      </c>
      <c r="L570" s="5">
        <f t="shared" si="561"/>
        <v>0.57588806864786424</v>
      </c>
      <c r="M570" s="5">
        <f t="shared" si="562"/>
        <v>0.68048974225533432</v>
      </c>
      <c r="N570" s="5">
        <f t="shared" si="563"/>
        <v>0.78526002254065363</v>
      </c>
      <c r="O570" s="5">
        <f t="shared" si="573"/>
        <v>-1.479277337661844E-2</v>
      </c>
      <c r="P570" s="2">
        <f t="shared" ref="P570:R570" si="620">(L570/L563)-1</f>
        <v>-3.1352248284998163E-3</v>
      </c>
      <c r="Q570" s="2">
        <f t="shared" si="620"/>
        <v>-1.6331464697329157E-2</v>
      </c>
      <c r="R570" s="2">
        <f t="shared" si="620"/>
        <v>-6.0803065772644382E-3</v>
      </c>
      <c r="S570" s="3"/>
    </row>
    <row r="571" spans="3:19" x14ac:dyDescent="0.25">
      <c r="C571" s="1">
        <f t="shared" si="565"/>
        <v>44033</v>
      </c>
      <c r="D571">
        <v>61759</v>
      </c>
      <c r="E571">
        <v>36561</v>
      </c>
      <c r="F571">
        <v>25230</v>
      </c>
      <c r="G571">
        <v>19737</v>
      </c>
      <c r="H571">
        <f>'Total Traffic'!D569-'Page Sessions'!D571</f>
        <v>69116</v>
      </c>
      <c r="I571" s="2">
        <f t="shared" si="560"/>
        <v>0.31958095176411533</v>
      </c>
      <c r="J571" s="2">
        <f t="shared" si="572"/>
        <v>4.8190510284156218E-2</v>
      </c>
      <c r="K571" s="2">
        <f>D571/'Total Traffic'!D569</f>
        <v>0.47189302769818531</v>
      </c>
      <c r="L571" s="5">
        <f t="shared" si="561"/>
        <v>0.59199468903317731</v>
      </c>
      <c r="M571" s="5">
        <f t="shared" si="562"/>
        <v>0.69007959300894395</v>
      </c>
      <c r="N571" s="5">
        <f t="shared" si="563"/>
        <v>0.78228299643281807</v>
      </c>
      <c r="O571" s="5">
        <f t="shared" si="573"/>
        <v>-1.2769656194814849E-2</v>
      </c>
      <c r="P571" s="2">
        <f t="shared" ref="P571:R571" si="621">(L571/L564)-1</f>
        <v>2.2797582761535429E-2</v>
      </c>
      <c r="Q571" s="2">
        <f t="shared" si="621"/>
        <v>2.3098135445739132E-2</v>
      </c>
      <c r="R571" s="2">
        <f t="shared" si="621"/>
        <v>1.6897675275593382E-3</v>
      </c>
      <c r="S571" s="3"/>
    </row>
    <row r="572" spans="3:19" x14ac:dyDescent="0.25">
      <c r="C572" s="1">
        <f t="shared" si="565"/>
        <v>44034</v>
      </c>
      <c r="D572">
        <v>64667</v>
      </c>
      <c r="E572">
        <v>37377</v>
      </c>
      <c r="F572">
        <v>25337</v>
      </c>
      <c r="G572">
        <v>19686</v>
      </c>
      <c r="H572">
        <f>'Total Traffic'!D570-'Page Sessions'!D572</f>
        <v>65711</v>
      </c>
      <c r="I572" s="2">
        <f t="shared" si="560"/>
        <v>0.30442111123138543</v>
      </c>
      <c r="J572" s="2">
        <f t="shared" si="572"/>
        <v>-4.1858425376520403E-2</v>
      </c>
      <c r="K572" s="2">
        <f>D572/'Total Traffic'!D570</f>
        <v>0.49599625703723021</v>
      </c>
      <c r="L572" s="5">
        <f t="shared" si="561"/>
        <v>0.57799186602130914</v>
      </c>
      <c r="M572" s="5">
        <f t="shared" si="562"/>
        <v>0.67787676913609973</v>
      </c>
      <c r="N572" s="5">
        <f t="shared" si="563"/>
        <v>0.77696649169199195</v>
      </c>
      <c r="O572" s="5">
        <f t="shared" si="573"/>
        <v>-3.2095956302150563E-3</v>
      </c>
      <c r="P572" s="2">
        <f t="shared" ref="P572:R572" si="622">(L572/L565)-1</f>
        <v>-2.0003746585858462E-2</v>
      </c>
      <c r="Q572" s="2">
        <f t="shared" si="622"/>
        <v>-2.5035703261702125E-2</v>
      </c>
      <c r="R572" s="2">
        <f t="shared" si="622"/>
        <v>2.8051543737568352E-3</v>
      </c>
      <c r="S572" s="3"/>
    </row>
    <row r="573" spans="3:19" x14ac:dyDescent="0.25">
      <c r="C573" s="1">
        <f t="shared" si="565"/>
        <v>44035</v>
      </c>
      <c r="D573">
        <v>64140</v>
      </c>
      <c r="E573">
        <v>37746</v>
      </c>
      <c r="F573">
        <v>25504</v>
      </c>
      <c r="G573">
        <v>20306</v>
      </c>
      <c r="H573">
        <f>'Total Traffic'!D571-'Page Sessions'!D573</f>
        <v>66520</v>
      </c>
      <c r="I573" s="2">
        <f t="shared" si="560"/>
        <v>0.31658871219207985</v>
      </c>
      <c r="J573" s="2">
        <f t="shared" si="572"/>
        <v>-3.2346352098588271E-2</v>
      </c>
      <c r="K573" s="2">
        <f>D573/'Total Traffic'!D571</f>
        <v>0.49089239246900351</v>
      </c>
      <c r="L573" s="5">
        <f t="shared" si="561"/>
        <v>0.58849391955098218</v>
      </c>
      <c r="M573" s="5">
        <f t="shared" si="562"/>
        <v>0.67567424362846396</v>
      </c>
      <c r="N573" s="5">
        <f t="shared" si="563"/>
        <v>0.79618883312421584</v>
      </c>
      <c r="O573" s="5">
        <f t="shared" si="573"/>
        <v>2.7188204734720278E-2</v>
      </c>
      <c r="P573" s="2">
        <f t="shared" ref="P573:R573" si="623">(L573/L566)-1</f>
        <v>-1.7195073550326567E-2</v>
      </c>
      <c r="Q573" s="2">
        <f t="shared" si="623"/>
        <v>-3.4739965700387732E-2</v>
      </c>
      <c r="R573" s="2">
        <f t="shared" si="623"/>
        <v>2.0019063207375787E-2</v>
      </c>
      <c r="S573" s="3"/>
    </row>
    <row r="574" spans="3:19" x14ac:dyDescent="0.25">
      <c r="C574" s="1">
        <f t="shared" si="565"/>
        <v>44036</v>
      </c>
      <c r="D574">
        <v>64972</v>
      </c>
      <c r="E574">
        <v>37293</v>
      </c>
      <c r="F574">
        <v>25512</v>
      </c>
      <c r="G574">
        <v>19827</v>
      </c>
      <c r="H574">
        <f>'Total Traffic'!D572-'Page Sessions'!D574</f>
        <v>65783</v>
      </c>
      <c r="I574" s="2">
        <f t="shared" si="560"/>
        <v>0.30516222372714402</v>
      </c>
      <c r="J574" s="2">
        <f t="shared" si="572"/>
        <v>-5.1679230351046157E-2</v>
      </c>
      <c r="K574" s="2">
        <f>D574/'Total Traffic'!D572</f>
        <v>0.49689878016137051</v>
      </c>
      <c r="L574" s="5">
        <f t="shared" si="561"/>
        <v>0.57398571692421352</v>
      </c>
      <c r="M574" s="5">
        <f t="shared" si="562"/>
        <v>0.68409621108519025</v>
      </c>
      <c r="N574" s="5">
        <f t="shared" si="563"/>
        <v>0.77716368767638755</v>
      </c>
      <c r="O574" s="5">
        <f t="shared" si="573"/>
        <v>1.6365088813197426E-2</v>
      </c>
      <c r="P574" s="2">
        <f t="shared" ref="P574:R574" si="624">(L574/L567)-1</f>
        <v>-2.5137311718309019E-2</v>
      </c>
      <c r="Q574" s="2">
        <f t="shared" si="624"/>
        <v>-1.2908472756233413E-3</v>
      </c>
      <c r="R574" s="2">
        <f t="shared" si="624"/>
        <v>-2.5968989723841207E-2</v>
      </c>
      <c r="S574" s="3"/>
    </row>
    <row r="575" spans="3:19" x14ac:dyDescent="0.25">
      <c r="C575" s="1">
        <f t="shared" si="565"/>
        <v>44037</v>
      </c>
      <c r="D575">
        <v>62126</v>
      </c>
      <c r="E575">
        <v>36002</v>
      </c>
      <c r="F575">
        <v>24841</v>
      </c>
      <c r="G575">
        <v>19723</v>
      </c>
      <c r="H575">
        <f>'Total Traffic'!D573-'Page Sessions'!D575</f>
        <v>68200</v>
      </c>
      <c r="I575" s="2">
        <f t="shared" si="560"/>
        <v>0.31746772687763575</v>
      </c>
      <c r="J575" s="2">
        <f t="shared" si="572"/>
        <v>3.5312346629035041E-2</v>
      </c>
      <c r="K575" s="2">
        <f>D575/'Total Traffic'!D573</f>
        <v>0.47669689854672131</v>
      </c>
      <c r="L575" s="5">
        <f t="shared" si="561"/>
        <v>0.57949972636255354</v>
      </c>
      <c r="M575" s="5">
        <f t="shared" si="562"/>
        <v>0.68998944503083159</v>
      </c>
      <c r="N575" s="5">
        <f t="shared" si="563"/>
        <v>0.79396964695463146</v>
      </c>
      <c r="O575" s="5">
        <f t="shared" si="573"/>
        <v>-3.7545211693316483E-2</v>
      </c>
      <c r="P575" s="2">
        <f t="shared" ref="P575:R575" si="625">(L575/L568)-1</f>
        <v>1.4533816822978496E-2</v>
      </c>
      <c r="Q575" s="2">
        <f t="shared" si="625"/>
        <v>1.8317421740567497E-2</v>
      </c>
      <c r="R575" s="2">
        <f t="shared" si="625"/>
        <v>2.1245270716208076E-3</v>
      </c>
      <c r="S575" s="3"/>
    </row>
    <row r="576" spans="3:19" x14ac:dyDescent="0.25">
      <c r="C576" s="1">
        <f t="shared" si="565"/>
        <v>44038</v>
      </c>
      <c r="D576">
        <v>62793</v>
      </c>
      <c r="E576">
        <v>36608</v>
      </c>
      <c r="F576">
        <v>25292</v>
      </c>
      <c r="G576">
        <v>20233</v>
      </c>
      <c r="H576">
        <f>'Total Traffic'!D574-'Page Sessions'!D576</f>
        <v>67322</v>
      </c>
      <c r="I576" s="2">
        <f t="shared" si="560"/>
        <v>0.32221744461962321</v>
      </c>
      <c r="J576" s="2">
        <f t="shared" si="572"/>
        <v>2.6929599977533636E-2</v>
      </c>
      <c r="K576" s="2">
        <f>D576/'Total Traffic'!D574</f>
        <v>0.48259616493102253</v>
      </c>
      <c r="L576" s="5">
        <f t="shared" si="561"/>
        <v>0.58299491981590301</v>
      </c>
      <c r="M576" s="5">
        <f t="shared" si="562"/>
        <v>0.69088723776223782</v>
      </c>
      <c r="N576" s="5">
        <f t="shared" si="563"/>
        <v>0.79997627708366281</v>
      </c>
      <c r="O576" s="5">
        <f t="shared" si="573"/>
        <v>-2.7792931505333462E-2</v>
      </c>
      <c r="P576" s="2">
        <f t="shared" ref="P576:R576" si="626">(L576/L569)-1</f>
        <v>-2.6225421127763826E-2</v>
      </c>
      <c r="Q576" s="2">
        <f t="shared" si="626"/>
        <v>1.8860627303632915E-2</v>
      </c>
      <c r="R576" s="2">
        <f t="shared" si="626"/>
        <v>3.5064609246881151E-2</v>
      </c>
      <c r="S576" s="3"/>
    </row>
    <row r="577" spans="3:19" x14ac:dyDescent="0.25">
      <c r="C577" s="1">
        <f t="shared" si="565"/>
        <v>44039</v>
      </c>
      <c r="D577">
        <v>64176</v>
      </c>
      <c r="E577">
        <v>38216</v>
      </c>
      <c r="F577">
        <v>26036</v>
      </c>
      <c r="G577">
        <v>20110</v>
      </c>
      <c r="H577">
        <f>'Total Traffic'!D575-'Page Sessions'!D577</f>
        <v>66211</v>
      </c>
      <c r="I577" s="2">
        <f t="shared" si="560"/>
        <v>0.31335701819995015</v>
      </c>
      <c r="J577" s="2">
        <f t="shared" si="572"/>
        <v>1.827779618658254E-2</v>
      </c>
      <c r="K577" s="2">
        <f>D577/'Total Traffic'!D575</f>
        <v>0.49219630791413255</v>
      </c>
      <c r="L577" s="5">
        <f t="shared" si="561"/>
        <v>0.5954874096235353</v>
      </c>
      <c r="M577" s="5">
        <f t="shared" si="562"/>
        <v>0.68128532551810761</v>
      </c>
      <c r="N577" s="5">
        <f t="shared" si="563"/>
        <v>0.77239207251497921</v>
      </c>
      <c r="O577" s="5">
        <f t="shared" si="573"/>
        <v>1.2963541645730103E-2</v>
      </c>
      <c r="P577" s="2">
        <f t="shared" ref="P577:R577" si="627">(L577/L570)-1</f>
        <v>3.4033247158060886E-2</v>
      </c>
      <c r="Q577" s="2">
        <f t="shared" si="627"/>
        <v>1.1691333658263581E-3</v>
      </c>
      <c r="R577" s="2">
        <f t="shared" si="627"/>
        <v>-1.6386865059093481E-2</v>
      </c>
      <c r="S577" s="3"/>
    </row>
    <row r="578" spans="3:19" x14ac:dyDescent="0.25">
      <c r="C578" s="1">
        <f t="shared" si="565"/>
        <v>44040</v>
      </c>
      <c r="D578">
        <v>62630</v>
      </c>
      <c r="E578">
        <v>37327</v>
      </c>
      <c r="F578">
        <v>25210</v>
      </c>
      <c r="G578">
        <v>20049</v>
      </c>
      <c r="H578">
        <f>'Total Traffic'!D576-'Page Sessions'!D578</f>
        <v>67607</v>
      </c>
      <c r="I578" s="2">
        <f t="shared" si="560"/>
        <v>0.3201181542391825</v>
      </c>
      <c r="J578" s="2">
        <f t="shared" si="572"/>
        <v>1.6809589936501723E-3</v>
      </c>
      <c r="K578" s="2">
        <f>D578/'Total Traffic'!D576</f>
        <v>0.48089252670132143</v>
      </c>
      <c r="L578" s="5">
        <f t="shared" si="561"/>
        <v>0.59599233594124224</v>
      </c>
      <c r="M578" s="5">
        <f t="shared" si="562"/>
        <v>0.67538243094810724</v>
      </c>
      <c r="N578" s="5">
        <f t="shared" si="563"/>
        <v>0.79527965093216979</v>
      </c>
      <c r="O578" s="5">
        <f t="shared" si="573"/>
        <v>1.9071057368730715E-2</v>
      </c>
      <c r="P578" s="2">
        <f t="shared" ref="P578:R578" si="628">(L578/L571)-1</f>
        <v>6.7528425205869436E-3</v>
      </c>
      <c r="Q578" s="2">
        <f t="shared" si="628"/>
        <v>-2.1297778125495492E-2</v>
      </c>
      <c r="R578" s="2">
        <f t="shared" si="628"/>
        <v>1.6613750469607558E-2</v>
      </c>
      <c r="S578" s="3"/>
    </row>
    <row r="579" spans="3:19" x14ac:dyDescent="0.25">
      <c r="C579" s="1">
        <f t="shared" si="565"/>
        <v>44041</v>
      </c>
      <c r="D579">
        <v>63743</v>
      </c>
      <c r="E579">
        <v>36849</v>
      </c>
      <c r="F579">
        <v>25274</v>
      </c>
      <c r="G579">
        <v>19471</v>
      </c>
      <c r="H579">
        <f>'Total Traffic'!D577-'Page Sessions'!D579</f>
        <v>66746</v>
      </c>
      <c r="I579" s="2">
        <f t="shared" si="560"/>
        <v>0.30546099179517749</v>
      </c>
      <c r="J579" s="2">
        <f t="shared" si="572"/>
        <v>3.4159278887910816E-3</v>
      </c>
      <c r="K579" s="2">
        <f>D579/'Total Traffic'!D577</f>
        <v>0.4884932829587168</v>
      </c>
      <c r="L579" s="5">
        <f t="shared" si="561"/>
        <v>0.578087005631991</v>
      </c>
      <c r="M579" s="5">
        <f t="shared" si="562"/>
        <v>0.68588021384569464</v>
      </c>
      <c r="N579" s="5">
        <f t="shared" si="563"/>
        <v>0.77039645485479147</v>
      </c>
      <c r="O579" s="5">
        <f t="shared" si="573"/>
        <v>-1.5127078021377582E-2</v>
      </c>
      <c r="P579" s="2">
        <f t="shared" ref="P579:R579" si="629">(L579/L572)-1</f>
        <v>1.6460371897064618E-4</v>
      </c>
      <c r="Q579" s="2">
        <f t="shared" si="629"/>
        <v>1.1806636654320801E-2</v>
      </c>
      <c r="R579" s="2">
        <f t="shared" si="629"/>
        <v>-8.4560105325687251E-3</v>
      </c>
      <c r="S579" s="3"/>
    </row>
    <row r="580" spans="3:19" x14ac:dyDescent="0.25">
      <c r="C580" s="1">
        <f t="shared" si="565"/>
        <v>44042</v>
      </c>
      <c r="D580">
        <v>64244</v>
      </c>
      <c r="E580">
        <v>36664</v>
      </c>
      <c r="F580">
        <v>24924</v>
      </c>
      <c r="G580">
        <v>19196</v>
      </c>
      <c r="H580">
        <f>'Total Traffic'!D578-'Page Sessions'!D580</f>
        <v>65938</v>
      </c>
      <c r="I580" s="2">
        <f t="shared" si="560"/>
        <v>0.2987983313616836</v>
      </c>
      <c r="J580" s="2">
        <f t="shared" si="572"/>
        <v>-5.6193983377406442E-2</v>
      </c>
      <c r="K580" s="2">
        <f>D580/'Total Traffic'!D578</f>
        <v>0.4934937241707763</v>
      </c>
      <c r="L580" s="5">
        <f t="shared" si="561"/>
        <v>0.57069920926467843</v>
      </c>
      <c r="M580" s="5">
        <f t="shared" si="562"/>
        <v>0.67979489417412176</v>
      </c>
      <c r="N580" s="5">
        <f t="shared" si="563"/>
        <v>0.77018135130797627</v>
      </c>
      <c r="O580" s="5">
        <f t="shared" si="573"/>
        <v>5.2991892758595949E-3</v>
      </c>
      <c r="P580" s="2">
        <f t="shared" ref="P580:R580" si="630">(L580/L573)-1</f>
        <v>-3.023771307591594E-2</v>
      </c>
      <c r="Q580" s="2">
        <f t="shared" si="630"/>
        <v>6.0985757330771495E-3</v>
      </c>
      <c r="R580" s="2">
        <f t="shared" si="630"/>
        <v>-3.2664966819726859E-2</v>
      </c>
      <c r="S580" s="3"/>
    </row>
    <row r="581" spans="3:19" x14ac:dyDescent="0.25">
      <c r="C581" s="1">
        <f t="shared" si="565"/>
        <v>44043</v>
      </c>
      <c r="D581">
        <v>64976</v>
      </c>
      <c r="E581">
        <v>37049</v>
      </c>
      <c r="F581">
        <v>25604</v>
      </c>
      <c r="G581">
        <v>20040</v>
      </c>
      <c r="H581">
        <f>'Total Traffic'!D579-'Page Sessions'!D581</f>
        <v>65499</v>
      </c>
      <c r="I581" s="2">
        <f t="shared" ref="I581:I644" si="631">G581/D581</f>
        <v>0.30842157104161538</v>
      </c>
      <c r="J581" s="2">
        <f t="shared" si="572"/>
        <v>1.0680703773431777E-2</v>
      </c>
      <c r="K581" s="2">
        <f>D581/'Total Traffic'!D579</f>
        <v>0.49799578463307148</v>
      </c>
      <c r="L581" s="5">
        <f t="shared" ref="L581:L644" si="632">E581/D581</f>
        <v>0.57019514897808421</v>
      </c>
      <c r="M581" s="5">
        <f t="shared" ref="M581:M644" si="633">F581/E581</f>
        <v>0.69108477961618398</v>
      </c>
      <c r="N581" s="5">
        <f t="shared" ref="N581:N644" si="634">G581/F581</f>
        <v>0.78269020465552253</v>
      </c>
      <c r="O581" s="5">
        <f t="shared" si="573"/>
        <v>2.2077020823934035E-3</v>
      </c>
      <c r="P581" s="2">
        <f t="shared" ref="P581:R581" si="635">(L581/L574)-1</f>
        <v>-6.6039412381925233E-3</v>
      </c>
      <c r="Q581" s="2">
        <f t="shared" si="635"/>
        <v>1.0215768509969747E-2</v>
      </c>
      <c r="R581" s="2">
        <f t="shared" si="635"/>
        <v>7.1111363883438194E-3</v>
      </c>
      <c r="S581" s="3"/>
    </row>
    <row r="582" spans="3:19" x14ac:dyDescent="0.25">
      <c r="C582" s="1">
        <f t="shared" ref="C582:C645" si="636">C581+1</f>
        <v>44044</v>
      </c>
      <c r="D582">
        <v>62916</v>
      </c>
      <c r="E582">
        <v>36044</v>
      </c>
      <c r="F582">
        <v>24272</v>
      </c>
      <c r="G582">
        <v>18849</v>
      </c>
      <c r="H582">
        <f>'Total Traffic'!D580-'Page Sessions'!D582</f>
        <v>67427</v>
      </c>
      <c r="I582" s="2">
        <f t="shared" si="631"/>
        <v>0.2995899294297158</v>
      </c>
      <c r="J582" s="2">
        <f t="shared" si="572"/>
        <v>-5.6313747616968723E-2</v>
      </c>
      <c r="K582" s="2">
        <f>D582/'Total Traffic'!D580</f>
        <v>0.48269565684386578</v>
      </c>
      <c r="L582" s="5">
        <f t="shared" si="632"/>
        <v>0.57289083857842205</v>
      </c>
      <c r="M582" s="5">
        <f t="shared" si="633"/>
        <v>0.67339917878148925</v>
      </c>
      <c r="N582" s="5">
        <f t="shared" si="634"/>
        <v>0.77657382992748847</v>
      </c>
      <c r="O582" s="5">
        <f t="shared" si="573"/>
        <v>1.2584009494151394E-2</v>
      </c>
      <c r="P582" s="2">
        <f t="shared" ref="P582:R582" si="637">(L582/L575)-1</f>
        <v>-1.1404470931530297E-2</v>
      </c>
      <c r="Q582" s="2">
        <f t="shared" si="637"/>
        <v>-2.4044231935462457E-2</v>
      </c>
      <c r="R582" s="2">
        <f t="shared" si="637"/>
        <v>-2.1909927027899401E-2</v>
      </c>
      <c r="S582" s="3"/>
    </row>
    <row r="583" spans="3:19" x14ac:dyDescent="0.25">
      <c r="C583" s="1">
        <f t="shared" si="636"/>
        <v>44045</v>
      </c>
      <c r="D583">
        <v>62226</v>
      </c>
      <c r="E583">
        <v>36246</v>
      </c>
      <c r="F583">
        <v>24654</v>
      </c>
      <c r="G583">
        <v>19378</v>
      </c>
      <c r="H583">
        <f>'Total Traffic'!D581-'Page Sessions'!D583</f>
        <v>68119</v>
      </c>
      <c r="I583" s="2">
        <f t="shared" si="631"/>
        <v>0.31141323562497991</v>
      </c>
      <c r="J583" s="2">
        <f t="shared" si="572"/>
        <v>-3.3530800939091443E-2</v>
      </c>
      <c r="K583" s="2">
        <f>D583/'Total Traffic'!D581</f>
        <v>0.47739460662089073</v>
      </c>
      <c r="L583" s="5">
        <f t="shared" si="632"/>
        <v>0.58248963455790181</v>
      </c>
      <c r="M583" s="5">
        <f t="shared" si="633"/>
        <v>0.68018539976825032</v>
      </c>
      <c r="N583" s="5">
        <f t="shared" si="634"/>
        <v>0.78599821529974856</v>
      </c>
      <c r="O583" s="5">
        <f t="shared" si="573"/>
        <v>-1.0778283559039981E-2</v>
      </c>
      <c r="P583" s="2">
        <f t="shared" ref="P583:R583" si="638">(L583/L576)-1</f>
        <v>-8.6670610810946069E-4</v>
      </c>
      <c r="Q583" s="2">
        <f t="shared" si="638"/>
        <v>-1.54899923012769E-2</v>
      </c>
      <c r="R583" s="2">
        <f t="shared" si="638"/>
        <v>-1.7473095370867386E-2</v>
      </c>
      <c r="S583" s="3"/>
    </row>
    <row r="584" spans="3:19" x14ac:dyDescent="0.25">
      <c r="C584" s="1">
        <f t="shared" si="636"/>
        <v>44046</v>
      </c>
      <c r="D584">
        <v>62455</v>
      </c>
      <c r="E584">
        <v>36692</v>
      </c>
      <c r="F584">
        <v>25009</v>
      </c>
      <c r="G584">
        <v>19484</v>
      </c>
      <c r="H584">
        <f>'Total Traffic'!D582-'Page Sessions'!D584</f>
        <v>68204</v>
      </c>
      <c r="I584" s="2">
        <f t="shared" si="631"/>
        <v>0.31196861740453125</v>
      </c>
      <c r="J584" s="2">
        <f t="shared" si="572"/>
        <v>-4.4307314493686745E-3</v>
      </c>
      <c r="K584" s="2">
        <f>D584/'Total Traffic'!D582</f>
        <v>0.47799998469297944</v>
      </c>
      <c r="L584" s="5">
        <f t="shared" si="632"/>
        <v>0.5874949963974061</v>
      </c>
      <c r="M584" s="5">
        <f t="shared" si="633"/>
        <v>0.6815927177586395</v>
      </c>
      <c r="N584" s="5">
        <f t="shared" si="634"/>
        <v>0.77907953136870722</v>
      </c>
      <c r="O584" s="5">
        <f t="shared" si="573"/>
        <v>-2.8842807215103572E-2</v>
      </c>
      <c r="P584" s="2">
        <f t="shared" ref="P584:R584" si="639">(L584/L577)-1</f>
        <v>-1.3421632593679789E-2</v>
      </c>
      <c r="Q584" s="2">
        <f t="shared" si="639"/>
        <v>4.5119457152287268E-4</v>
      </c>
      <c r="R584" s="2">
        <f t="shared" si="639"/>
        <v>8.6581143070940669E-3</v>
      </c>
      <c r="S584" s="3"/>
    </row>
    <row r="585" spans="3:19" x14ac:dyDescent="0.25">
      <c r="C585" s="1">
        <f t="shared" si="636"/>
        <v>44047</v>
      </c>
      <c r="D585">
        <v>63665</v>
      </c>
      <c r="E585">
        <v>36798</v>
      </c>
      <c r="F585">
        <v>25442</v>
      </c>
      <c r="G585">
        <v>19687</v>
      </c>
      <c r="H585">
        <f>'Total Traffic'!D583-'Page Sessions'!D585</f>
        <v>66717</v>
      </c>
      <c r="I585" s="2">
        <f t="shared" si="631"/>
        <v>0.3092279902615252</v>
      </c>
      <c r="J585" s="2">
        <f t="shared" si="572"/>
        <v>-3.4019201452475278E-2</v>
      </c>
      <c r="K585" s="2">
        <f>D585/'Total Traffic'!D583</f>
        <v>0.4882959304198432</v>
      </c>
      <c r="L585" s="5">
        <f t="shared" si="632"/>
        <v>0.57799418832953742</v>
      </c>
      <c r="M585" s="5">
        <f t="shared" si="633"/>
        <v>0.69139627153649652</v>
      </c>
      <c r="N585" s="5">
        <f t="shared" si="634"/>
        <v>0.77379922962031289</v>
      </c>
      <c r="O585" s="5">
        <f t="shared" si="573"/>
        <v>1.5395131567764953E-2</v>
      </c>
      <c r="P585" s="2">
        <f t="shared" ref="P585:R585" si="640">(L585/L578)-1</f>
        <v>-3.0198622576715906E-2</v>
      </c>
      <c r="Q585" s="2">
        <f t="shared" si="640"/>
        <v>2.3710774599080109E-2</v>
      </c>
      <c r="R585" s="2">
        <f t="shared" si="640"/>
        <v>-2.7009896816395429E-2</v>
      </c>
      <c r="S585" s="3"/>
    </row>
    <row r="586" spans="3:19" x14ac:dyDescent="0.25">
      <c r="C586" s="1">
        <f t="shared" si="636"/>
        <v>44048</v>
      </c>
      <c r="D586">
        <v>62783</v>
      </c>
      <c r="E586">
        <v>35874</v>
      </c>
      <c r="F586">
        <v>24505</v>
      </c>
      <c r="G586">
        <v>19153</v>
      </c>
      <c r="H586">
        <f>'Total Traffic'!D584-'Page Sessions'!D586</f>
        <v>68207</v>
      </c>
      <c r="I586" s="2">
        <f t="shared" si="631"/>
        <v>0.30506665817179812</v>
      </c>
      <c r="J586" s="2">
        <f t="shared" si="572"/>
        <v>-1.2909459275368684E-3</v>
      </c>
      <c r="K586" s="2">
        <f>D586/'Total Traffic'!D584</f>
        <v>0.47929612947553246</v>
      </c>
      <c r="L586" s="5">
        <f t="shared" si="632"/>
        <v>0.57139671567143968</v>
      </c>
      <c r="M586" s="5">
        <f t="shared" si="633"/>
        <v>0.68308524279422422</v>
      </c>
      <c r="N586" s="5">
        <f t="shared" si="634"/>
        <v>0.78159559273617629</v>
      </c>
      <c r="O586" s="5">
        <f t="shared" si="573"/>
        <v>-1.8827594573007866E-2</v>
      </c>
      <c r="P586" s="2">
        <f t="shared" ref="P586:R586" si="641">(L586/L579)-1</f>
        <v>-1.1573154032820998E-2</v>
      </c>
      <c r="Q586" s="2">
        <f t="shared" si="641"/>
        <v>-4.0750133843330261E-3</v>
      </c>
      <c r="R586" s="2">
        <f t="shared" si="641"/>
        <v>1.4536850229270204E-2</v>
      </c>
      <c r="S586" s="3"/>
    </row>
    <row r="587" spans="3:19" x14ac:dyDescent="0.25">
      <c r="C587" s="1">
        <f t="shared" si="636"/>
        <v>44049</v>
      </c>
      <c r="D587">
        <v>62459</v>
      </c>
      <c r="E587">
        <v>36082</v>
      </c>
      <c r="F587">
        <v>24496</v>
      </c>
      <c r="G587">
        <v>19339</v>
      </c>
      <c r="H587">
        <f>'Total Traffic'!D585-'Page Sessions'!D587</f>
        <v>68072</v>
      </c>
      <c r="I587" s="2">
        <f t="shared" si="631"/>
        <v>0.30962711538769433</v>
      </c>
      <c r="J587" s="2">
        <f t="shared" si="572"/>
        <v>3.6241112782195994E-2</v>
      </c>
      <c r="K587" s="2">
        <f>D587/'Total Traffic'!D585</f>
        <v>0.47849936030521484</v>
      </c>
      <c r="L587" s="5">
        <f t="shared" si="632"/>
        <v>0.57769096527321928</v>
      </c>
      <c r="M587" s="5">
        <f t="shared" si="633"/>
        <v>0.67889806551743248</v>
      </c>
      <c r="N587" s="5">
        <f t="shared" si="634"/>
        <v>0.78947583278902678</v>
      </c>
      <c r="O587" s="5">
        <f t="shared" si="573"/>
        <v>-3.0384102433636206E-2</v>
      </c>
      <c r="P587" s="2">
        <f t="shared" ref="P587:R587" si="642">(L587/L580)-1</f>
        <v>1.2251210261092549E-2</v>
      </c>
      <c r="Q587" s="2">
        <f t="shared" si="642"/>
        <v>-1.3192635960863619E-3</v>
      </c>
      <c r="R587" s="2">
        <f t="shared" si="642"/>
        <v>2.5051867911736858E-2</v>
      </c>
      <c r="S587" s="3"/>
    </row>
    <row r="588" spans="3:19" x14ac:dyDescent="0.25">
      <c r="C588" s="1">
        <f t="shared" si="636"/>
        <v>44050</v>
      </c>
      <c r="D588">
        <v>64012</v>
      </c>
      <c r="E588">
        <v>36870</v>
      </c>
      <c r="F588">
        <v>25499</v>
      </c>
      <c r="G588">
        <v>19774</v>
      </c>
      <c r="H588">
        <f>'Total Traffic'!D586-'Page Sessions'!D588</f>
        <v>66360</v>
      </c>
      <c r="I588" s="2">
        <f t="shared" si="631"/>
        <v>0.30891082921952134</v>
      </c>
      <c r="J588" s="2">
        <f t="shared" ref="J588:J651" si="643">(I588/I581)-1</f>
        <v>1.5863293097613251E-3</v>
      </c>
      <c r="K588" s="2">
        <f>D588/'Total Traffic'!D586</f>
        <v>0.49099499892614978</v>
      </c>
      <c r="L588" s="5">
        <f t="shared" si="632"/>
        <v>0.57598575267137408</v>
      </c>
      <c r="M588" s="5">
        <f t="shared" si="633"/>
        <v>0.6915920802820722</v>
      </c>
      <c r="N588" s="5">
        <f t="shared" si="634"/>
        <v>0.77548139142711481</v>
      </c>
      <c r="O588" s="5">
        <f t="shared" ref="O588:O651" si="644">(K588/K581)-1</f>
        <v>-1.4057921618914837E-2</v>
      </c>
      <c r="P588" s="2">
        <f t="shared" ref="P588:R588" si="645">(L588/L581)-1</f>
        <v>1.0155476951475118E-2</v>
      </c>
      <c r="Q588" s="2">
        <f t="shared" si="645"/>
        <v>7.3406430130029676E-4</v>
      </c>
      <c r="R588" s="2">
        <f t="shared" si="645"/>
        <v>-9.2103020908259614E-3</v>
      </c>
      <c r="S588" s="3"/>
    </row>
    <row r="589" spans="3:19" x14ac:dyDescent="0.25">
      <c r="C589" s="1">
        <f t="shared" si="636"/>
        <v>44051</v>
      </c>
      <c r="D589">
        <v>61738</v>
      </c>
      <c r="E589">
        <v>35283</v>
      </c>
      <c r="F589">
        <v>24070</v>
      </c>
      <c r="G589">
        <v>18591</v>
      </c>
      <c r="H589">
        <f>'Total Traffic'!D587-'Page Sessions'!D589</f>
        <v>69258</v>
      </c>
      <c r="I589" s="2">
        <f t="shared" si="631"/>
        <v>0.30112734458518253</v>
      </c>
      <c r="J589" s="2">
        <f t="shared" si="643"/>
        <v>5.1317317587853406E-3</v>
      </c>
      <c r="K589" s="2">
        <f>D589/'Total Traffic'!D587</f>
        <v>0.47129683349109897</v>
      </c>
      <c r="L589" s="5">
        <f t="shared" si="632"/>
        <v>0.57149567527292755</v>
      </c>
      <c r="M589" s="5">
        <f t="shared" si="633"/>
        <v>0.68219822577445233</v>
      </c>
      <c r="N589" s="5">
        <f t="shared" si="634"/>
        <v>0.77237224761113421</v>
      </c>
      <c r="O589" s="5">
        <f t="shared" si="644"/>
        <v>-2.3614928353196118E-2</v>
      </c>
      <c r="P589" s="2">
        <f t="shared" ref="P589:R589" si="646">(L589/L582)-1</f>
        <v>-2.4353039209991101E-3</v>
      </c>
      <c r="Q589" s="2">
        <f t="shared" si="646"/>
        <v>1.3066613786023362E-2</v>
      </c>
      <c r="R589" s="2">
        <f t="shared" si="646"/>
        <v>-5.4104093576609058E-3</v>
      </c>
      <c r="S589" s="3"/>
    </row>
    <row r="590" spans="3:19" x14ac:dyDescent="0.25">
      <c r="C590" s="1">
        <f t="shared" si="636"/>
        <v>44052</v>
      </c>
      <c r="D590">
        <v>64696</v>
      </c>
      <c r="E590">
        <v>38552</v>
      </c>
      <c r="F590">
        <v>26165</v>
      </c>
      <c r="G590">
        <v>20290</v>
      </c>
      <c r="H590">
        <f>'Total Traffic'!D588-'Page Sessions'!D590</f>
        <v>65873</v>
      </c>
      <c r="I590" s="2">
        <f t="shared" si="631"/>
        <v>0.31362062569556076</v>
      </c>
      <c r="J590" s="2">
        <f t="shared" si="643"/>
        <v>7.088298819897032E-3</v>
      </c>
      <c r="K590" s="2">
        <f>D590/'Total Traffic'!D588</f>
        <v>0.49549280457076333</v>
      </c>
      <c r="L590" s="5">
        <f t="shared" si="632"/>
        <v>0.59589464572771111</v>
      </c>
      <c r="M590" s="5">
        <f t="shared" si="633"/>
        <v>0.67869371238846232</v>
      </c>
      <c r="N590" s="5">
        <f t="shared" si="634"/>
        <v>0.77546340531244029</v>
      </c>
      <c r="O590" s="5">
        <f t="shared" si="644"/>
        <v>3.791035277498378E-2</v>
      </c>
      <c r="P590" s="2">
        <f t="shared" ref="P590:R590" si="647">(L590/L583)-1</f>
        <v>2.301330422812331E-2</v>
      </c>
      <c r="Q590" s="2">
        <f t="shared" si="647"/>
        <v>-2.1930599808467344E-3</v>
      </c>
      <c r="R590" s="2">
        <f t="shared" si="647"/>
        <v>-1.3403096574832185E-2</v>
      </c>
      <c r="S590" s="3"/>
    </row>
    <row r="591" spans="3:19" x14ac:dyDescent="0.25">
      <c r="C591" s="1">
        <f t="shared" si="636"/>
        <v>44053</v>
      </c>
      <c r="D591">
        <v>62575</v>
      </c>
      <c r="E591">
        <v>37044</v>
      </c>
      <c r="F591">
        <v>25208</v>
      </c>
      <c r="G591">
        <v>19725</v>
      </c>
      <c r="H591">
        <f>'Total Traffic'!D589-'Page Sessions'!D591</f>
        <v>68254</v>
      </c>
      <c r="I591" s="2">
        <f t="shared" si="631"/>
        <v>0.31522173391929686</v>
      </c>
      <c r="J591" s="2">
        <f t="shared" si="643"/>
        <v>1.0427704369210034E-2</v>
      </c>
      <c r="K591" s="2">
        <f>D591/'Total Traffic'!D589</f>
        <v>0.4782960964312194</v>
      </c>
      <c r="L591" s="5">
        <f t="shared" si="632"/>
        <v>0.59199360767079501</v>
      </c>
      <c r="M591" s="5">
        <f t="shared" si="633"/>
        <v>0.68048806824317032</v>
      </c>
      <c r="N591" s="5">
        <f t="shared" si="634"/>
        <v>0.78248968581402734</v>
      </c>
      <c r="O591" s="5">
        <f t="shared" si="644"/>
        <v>6.1948064377070899E-4</v>
      </c>
      <c r="P591" s="2">
        <f t="shared" ref="P591:R591" si="648">(L591/L584)-1</f>
        <v>7.6572758933692864E-3</v>
      </c>
      <c r="Q591" s="2">
        <f t="shared" si="648"/>
        <v>-1.6206885529846948E-3</v>
      </c>
      <c r="R591" s="2">
        <f t="shared" si="648"/>
        <v>4.3771583105629563E-3</v>
      </c>
      <c r="S591" s="3"/>
    </row>
    <row r="592" spans="3:19" x14ac:dyDescent="0.25">
      <c r="C592" s="1">
        <f t="shared" si="636"/>
        <v>44054</v>
      </c>
      <c r="D592">
        <v>62744</v>
      </c>
      <c r="E592">
        <v>36874</v>
      </c>
      <c r="F592">
        <v>25575</v>
      </c>
      <c r="G592">
        <v>20219</v>
      </c>
      <c r="H592">
        <f>'Total Traffic'!D590-'Page Sessions'!D592</f>
        <v>67920</v>
      </c>
      <c r="I592" s="2">
        <f t="shared" si="631"/>
        <v>0.32224595180415655</v>
      </c>
      <c r="J592" s="2">
        <f t="shared" si="643"/>
        <v>4.2098263910784972E-2</v>
      </c>
      <c r="K592" s="2">
        <f>D592/'Total Traffic'!D590</f>
        <v>0.48019347333619056</v>
      </c>
      <c r="L592" s="5">
        <f t="shared" si="632"/>
        <v>0.58768965956904251</v>
      </c>
      <c r="M592" s="5">
        <f t="shared" si="633"/>
        <v>0.69357813093236431</v>
      </c>
      <c r="N592" s="5">
        <f t="shared" si="634"/>
        <v>0.79057673509286408</v>
      </c>
      <c r="O592" s="5">
        <f t="shared" si="644"/>
        <v>-1.6593333220463302E-2</v>
      </c>
      <c r="P592" s="2">
        <f t="shared" ref="P592:R592" si="649">(L592/L585)-1</f>
        <v>1.6774340357168738E-2</v>
      </c>
      <c r="Q592" s="2">
        <f t="shared" si="649"/>
        <v>3.1557291898884898E-3</v>
      </c>
      <c r="R592" s="2">
        <f t="shared" si="649"/>
        <v>2.1681987821031479E-2</v>
      </c>
      <c r="S592" s="3"/>
    </row>
    <row r="593" spans="3:19" x14ac:dyDescent="0.25">
      <c r="C593" s="1">
        <f t="shared" si="636"/>
        <v>44055</v>
      </c>
      <c r="D593">
        <v>63107</v>
      </c>
      <c r="E593">
        <v>36046</v>
      </c>
      <c r="F593">
        <v>24284</v>
      </c>
      <c r="G593">
        <v>19111</v>
      </c>
      <c r="H593">
        <f>'Total Traffic'!D591-'Page Sessions'!D593</f>
        <v>67524</v>
      </c>
      <c r="I593" s="2">
        <f t="shared" si="631"/>
        <v>0.30283486776427337</v>
      </c>
      <c r="J593" s="2">
        <f t="shared" si="643"/>
        <v>-7.3157467318762937E-3</v>
      </c>
      <c r="K593" s="2">
        <f>D593/'Total Traffic'!D591</f>
        <v>0.48309359952844272</v>
      </c>
      <c r="L593" s="5">
        <f t="shared" si="632"/>
        <v>0.5711886161598555</v>
      </c>
      <c r="M593" s="5">
        <f t="shared" si="633"/>
        <v>0.6736947234089774</v>
      </c>
      <c r="N593" s="5">
        <f t="shared" si="634"/>
        <v>0.7869790808762972</v>
      </c>
      <c r="O593" s="5">
        <f t="shared" si="644"/>
        <v>7.9230142272703752E-3</v>
      </c>
      <c r="P593" s="2">
        <f t="shared" ref="P593:R593" si="650">(L593/L586)-1</f>
        <v>-3.6419444822965996E-4</v>
      </c>
      <c r="Q593" s="2">
        <f t="shared" si="650"/>
        <v>-1.3747214545045683E-2</v>
      </c>
      <c r="R593" s="2">
        <f t="shared" si="650"/>
        <v>6.8878179331521849E-3</v>
      </c>
      <c r="S593" s="3"/>
    </row>
    <row r="594" spans="3:19" x14ac:dyDescent="0.25">
      <c r="C594" s="1">
        <f t="shared" si="636"/>
        <v>44056</v>
      </c>
      <c r="D594">
        <v>64623</v>
      </c>
      <c r="E594">
        <v>36893</v>
      </c>
      <c r="F594">
        <v>25478</v>
      </c>
      <c r="G594">
        <v>19694</v>
      </c>
      <c r="H594">
        <f>'Total Traffic'!D592-'Page Sessions'!D594</f>
        <v>66062</v>
      </c>
      <c r="I594" s="2">
        <f t="shared" si="631"/>
        <v>0.30475217801711463</v>
      </c>
      <c r="J594" s="2">
        <f t="shared" si="643"/>
        <v>-1.5744542801025774E-2</v>
      </c>
      <c r="K594" s="2">
        <f>D594/'Total Traffic'!D592</f>
        <v>0.4944943949190802</v>
      </c>
      <c r="L594" s="5">
        <f t="shared" si="632"/>
        <v>0.57089581108893117</v>
      </c>
      <c r="M594" s="5">
        <f t="shared" si="633"/>
        <v>0.69059171116471962</v>
      </c>
      <c r="N594" s="5">
        <f t="shared" si="634"/>
        <v>0.77298061072297664</v>
      </c>
      <c r="O594" s="5">
        <f t="shared" si="644"/>
        <v>3.3427494247145528E-2</v>
      </c>
      <c r="P594" s="2">
        <f t="shared" ref="P594:R594" si="651">(L594/L587)-1</f>
        <v>-1.1762611141190926E-2</v>
      </c>
      <c r="Q594" s="2">
        <f t="shared" si="651"/>
        <v>1.7224449797738961E-2</v>
      </c>
      <c r="R594" s="2">
        <f t="shared" si="651"/>
        <v>-2.0893891086920968E-2</v>
      </c>
      <c r="S594" s="3"/>
    </row>
    <row r="595" spans="3:19" x14ac:dyDescent="0.25">
      <c r="C595" s="1">
        <f t="shared" si="636"/>
        <v>44057</v>
      </c>
      <c r="D595">
        <v>64117</v>
      </c>
      <c r="E595">
        <v>36848</v>
      </c>
      <c r="F595">
        <v>25506</v>
      </c>
      <c r="G595">
        <v>19894</v>
      </c>
      <c r="H595">
        <f>'Total Traffic'!D593-'Page Sessions'!D595</f>
        <v>66151</v>
      </c>
      <c r="I595" s="2">
        <f t="shared" si="631"/>
        <v>0.3102765257264064</v>
      </c>
      <c r="J595" s="2">
        <f t="shared" si="643"/>
        <v>4.421005603252981E-3</v>
      </c>
      <c r="K595" s="2">
        <f>D595/'Total Traffic'!D593</f>
        <v>0.49219301747167377</v>
      </c>
      <c r="L595" s="5">
        <f t="shared" si="632"/>
        <v>0.5746993777001419</v>
      </c>
      <c r="M595" s="5">
        <f t="shared" si="633"/>
        <v>0.69219496309161965</v>
      </c>
      <c r="N595" s="5">
        <f t="shared" si="634"/>
        <v>0.77997333960636717</v>
      </c>
      <c r="O595" s="5">
        <f t="shared" si="644"/>
        <v>2.4399811569244534E-3</v>
      </c>
      <c r="P595" s="2">
        <f t="shared" ref="P595:R595" si="652">(L595/L588)-1</f>
        <v>-2.2333451222813494E-3</v>
      </c>
      <c r="Q595" s="2">
        <f t="shared" si="652"/>
        <v>8.7173180077715351E-4</v>
      </c>
      <c r="R595" s="2">
        <f t="shared" si="652"/>
        <v>5.7924641763302809E-3</v>
      </c>
      <c r="S595" s="3"/>
    </row>
    <row r="596" spans="3:19" x14ac:dyDescent="0.25">
      <c r="C596" s="1">
        <f t="shared" si="636"/>
        <v>44058</v>
      </c>
      <c r="D596">
        <v>64097</v>
      </c>
      <c r="E596">
        <v>36682</v>
      </c>
      <c r="F596">
        <v>24653</v>
      </c>
      <c r="G596">
        <v>19106</v>
      </c>
      <c r="H596">
        <f>'Total Traffic'!D594-'Page Sessions'!D596</f>
        <v>66528</v>
      </c>
      <c r="I596" s="2">
        <f t="shared" si="631"/>
        <v>0.29807947329828227</v>
      </c>
      <c r="J596" s="2">
        <f t="shared" si="643"/>
        <v>-1.0121536093305794E-2</v>
      </c>
      <c r="K596" s="2">
        <f>D596/'Total Traffic'!D594</f>
        <v>0.49069473684210524</v>
      </c>
      <c r="L596" s="5">
        <f t="shared" si="632"/>
        <v>0.57228887467432177</v>
      </c>
      <c r="M596" s="5">
        <f t="shared" si="633"/>
        <v>0.67207349653781145</v>
      </c>
      <c r="N596" s="5">
        <f t="shared" si="634"/>
        <v>0.77499695777390176</v>
      </c>
      <c r="O596" s="5">
        <f t="shared" si="644"/>
        <v>4.1158569233995523E-2</v>
      </c>
      <c r="P596" s="2">
        <f t="shared" ref="P596:R596" si="653">(L596/L589)-1</f>
        <v>1.3879359647217537E-3</v>
      </c>
      <c r="Q596" s="2">
        <f t="shared" si="653"/>
        <v>-1.4841330355479854E-2</v>
      </c>
      <c r="R596" s="2">
        <f t="shared" si="653"/>
        <v>3.3982450442586742E-3</v>
      </c>
      <c r="S596" s="3"/>
    </row>
    <row r="597" spans="3:19" x14ac:dyDescent="0.25">
      <c r="C597" s="1">
        <f t="shared" si="636"/>
        <v>44059</v>
      </c>
      <c r="D597">
        <v>65429</v>
      </c>
      <c r="E597">
        <v>37386</v>
      </c>
      <c r="F597">
        <v>25923</v>
      </c>
      <c r="G597">
        <v>20665</v>
      </c>
      <c r="H597">
        <f>'Total Traffic'!D595-'Page Sessions'!D597</f>
        <v>65587</v>
      </c>
      <c r="I597" s="2">
        <f t="shared" si="631"/>
        <v>0.31583854254229776</v>
      </c>
      <c r="J597" s="2">
        <f t="shared" si="643"/>
        <v>7.0719737957860573E-3</v>
      </c>
      <c r="K597" s="2">
        <f>D597/'Total Traffic'!D595</f>
        <v>0.49939702021127191</v>
      </c>
      <c r="L597" s="5">
        <f t="shared" si="632"/>
        <v>0.57139800394320561</v>
      </c>
      <c r="M597" s="5">
        <f t="shared" si="633"/>
        <v>0.69338789921360933</v>
      </c>
      <c r="N597" s="5">
        <f t="shared" si="634"/>
        <v>0.79716853759209971</v>
      </c>
      <c r="O597" s="5">
        <f t="shared" si="644"/>
        <v>7.8794598115117243E-3</v>
      </c>
      <c r="P597" s="2">
        <f t="shared" ref="P597:R597" si="654">(L597/L590)-1</f>
        <v>-4.1109014756442464E-2</v>
      </c>
      <c r="Q597" s="2">
        <f t="shared" si="654"/>
        <v>2.1650689489129293E-2</v>
      </c>
      <c r="R597" s="2">
        <f t="shared" si="654"/>
        <v>2.7989885958466632E-2</v>
      </c>
      <c r="S597" s="3"/>
    </row>
    <row r="598" spans="3:19" x14ac:dyDescent="0.25">
      <c r="C598" s="1">
        <f t="shared" si="636"/>
        <v>44060</v>
      </c>
      <c r="D598">
        <v>62492</v>
      </c>
      <c r="E598">
        <v>37176</v>
      </c>
      <c r="F598">
        <v>25881</v>
      </c>
      <c r="G598">
        <v>19972</v>
      </c>
      <c r="H598">
        <f>'Total Traffic'!D596-'Page Sessions'!D598</f>
        <v>67756</v>
      </c>
      <c r="I598" s="2">
        <f t="shared" si="631"/>
        <v>0.31959290789221018</v>
      </c>
      <c r="J598" s="2">
        <f t="shared" si="643"/>
        <v>1.3866981564261138E-2</v>
      </c>
      <c r="K598" s="2">
        <f>D598/'Total Traffic'!D596</f>
        <v>0.47979239604446899</v>
      </c>
      <c r="L598" s="5">
        <f t="shared" si="632"/>
        <v>0.59489214619471298</v>
      </c>
      <c r="M598" s="5">
        <f t="shared" si="633"/>
        <v>0.69617495158166554</v>
      </c>
      <c r="N598" s="5">
        <f t="shared" si="634"/>
        <v>0.77168579266643489</v>
      </c>
      <c r="O598" s="5">
        <f t="shared" si="644"/>
        <v>3.1283960383832188E-3</v>
      </c>
      <c r="P598" s="2">
        <f t="shared" ref="P598:R598" si="655">(L598/L591)-1</f>
        <v>4.8962328078545614E-3</v>
      </c>
      <c r="Q598" s="2">
        <f t="shared" si="655"/>
        <v>2.3052400285275221E-2</v>
      </c>
      <c r="R598" s="2">
        <f t="shared" si="655"/>
        <v>-1.3807074193384561E-2</v>
      </c>
      <c r="S598" s="3"/>
    </row>
    <row r="599" spans="3:19" x14ac:dyDescent="0.25">
      <c r="C599" s="1">
        <f t="shared" si="636"/>
        <v>44061</v>
      </c>
      <c r="D599">
        <v>63026</v>
      </c>
      <c r="E599">
        <v>37021</v>
      </c>
      <c r="F599">
        <v>24892</v>
      </c>
      <c r="G599">
        <v>19219</v>
      </c>
      <c r="H599">
        <f>'Total Traffic'!D597-'Page Sessions'!D599</f>
        <v>67356</v>
      </c>
      <c r="I599" s="2">
        <f t="shared" si="631"/>
        <v>0.30493764478151875</v>
      </c>
      <c r="J599" s="2">
        <f t="shared" si="643"/>
        <v>-5.3711480084494112E-2</v>
      </c>
      <c r="K599" s="2">
        <f>D599/'Total Traffic'!D597</f>
        <v>0.4833949471552822</v>
      </c>
      <c r="L599" s="5">
        <f t="shared" si="632"/>
        <v>0.587392504680608</v>
      </c>
      <c r="M599" s="5">
        <f t="shared" si="633"/>
        <v>0.67237513843494234</v>
      </c>
      <c r="N599" s="5">
        <f t="shared" si="634"/>
        <v>0.77209545235416999</v>
      </c>
      <c r="O599" s="5">
        <f t="shared" si="644"/>
        <v>6.6670498389931332E-3</v>
      </c>
      <c r="P599" s="2">
        <f t="shared" ref="P599:R599" si="656">(L599/L592)-1</f>
        <v>-5.0563232412903503E-4</v>
      </c>
      <c r="Q599" s="2">
        <f t="shared" si="656"/>
        <v>-3.0570445565979987E-2</v>
      </c>
      <c r="R599" s="2">
        <f t="shared" si="656"/>
        <v>-2.3376962562050574E-2</v>
      </c>
      <c r="S599" s="3"/>
    </row>
    <row r="600" spans="3:19" x14ac:dyDescent="0.25">
      <c r="C600" s="1">
        <f t="shared" si="636"/>
        <v>44062</v>
      </c>
      <c r="D600">
        <v>62675</v>
      </c>
      <c r="E600">
        <v>36683</v>
      </c>
      <c r="F600">
        <v>25094</v>
      </c>
      <c r="G600">
        <v>19420</v>
      </c>
      <c r="H600">
        <f>'Total Traffic'!D598-'Page Sessions'!D600</f>
        <v>67682</v>
      </c>
      <c r="I600" s="2">
        <f t="shared" si="631"/>
        <v>0.30985241324291984</v>
      </c>
      <c r="J600" s="2">
        <f t="shared" si="643"/>
        <v>2.3172845090311478E-2</v>
      </c>
      <c r="K600" s="2">
        <f>D600/'Total Traffic'!D598</f>
        <v>0.48079504744662732</v>
      </c>
      <c r="L600" s="5">
        <f t="shared" si="632"/>
        <v>0.58528919026725168</v>
      </c>
      <c r="M600" s="5">
        <f t="shared" si="633"/>
        <v>0.68407709293133057</v>
      </c>
      <c r="N600" s="5">
        <f t="shared" si="634"/>
        <v>0.77389017294970908</v>
      </c>
      <c r="O600" s="5">
        <f t="shared" si="644"/>
        <v>-4.7579849620427161E-3</v>
      </c>
      <c r="P600" s="2">
        <f t="shared" ref="P600:R600" si="657">(L600/L593)-1</f>
        <v>2.4686371031333643E-2</v>
      </c>
      <c r="Q600" s="2">
        <f t="shared" si="657"/>
        <v>1.5411089268767109E-2</v>
      </c>
      <c r="R600" s="2">
        <f t="shared" si="657"/>
        <v>-1.663183716651484E-2</v>
      </c>
      <c r="S600" s="3"/>
    </row>
    <row r="601" spans="3:19" x14ac:dyDescent="0.25">
      <c r="C601" s="1">
        <f t="shared" si="636"/>
        <v>44063</v>
      </c>
      <c r="D601">
        <v>63074</v>
      </c>
      <c r="E601">
        <v>37301</v>
      </c>
      <c r="F601">
        <v>26088</v>
      </c>
      <c r="G601">
        <v>20199</v>
      </c>
      <c r="H601">
        <f>'Total Traffic'!D599-'Page Sessions'!D601</f>
        <v>67380</v>
      </c>
      <c r="I601" s="2">
        <f t="shared" si="631"/>
        <v>0.3202428893046263</v>
      </c>
      <c r="J601" s="2">
        <f t="shared" si="643"/>
        <v>5.0830518712951411E-2</v>
      </c>
      <c r="K601" s="2">
        <f>D601/'Total Traffic'!D599</f>
        <v>0.48349609824152573</v>
      </c>
      <c r="L601" s="5">
        <f t="shared" si="632"/>
        <v>0.59138472270666198</v>
      </c>
      <c r="M601" s="5">
        <f t="shared" si="633"/>
        <v>0.69939143722688402</v>
      </c>
      <c r="N601" s="5">
        <f t="shared" si="634"/>
        <v>0.77426402943882244</v>
      </c>
      <c r="O601" s="5">
        <f t="shared" si="644"/>
        <v>-2.2241499176859691E-2</v>
      </c>
      <c r="P601" s="2">
        <f t="shared" ref="P601:R601" si="658">(L601/L594)-1</f>
        <v>3.5889055795750302E-2</v>
      </c>
      <c r="Q601" s="2">
        <f t="shared" si="658"/>
        <v>1.2742298987810319E-2</v>
      </c>
      <c r="R601" s="2">
        <f t="shared" si="658"/>
        <v>1.6603504642185296E-3</v>
      </c>
      <c r="S601" s="3"/>
    </row>
    <row r="602" spans="3:19" x14ac:dyDescent="0.25">
      <c r="C602" s="1">
        <f t="shared" si="636"/>
        <v>44064</v>
      </c>
      <c r="D602">
        <v>62914</v>
      </c>
      <c r="E602">
        <v>37540</v>
      </c>
      <c r="F602">
        <v>25910</v>
      </c>
      <c r="G602">
        <v>20018</v>
      </c>
      <c r="H602">
        <f>'Total Traffic'!D600-'Page Sessions'!D602</f>
        <v>67156</v>
      </c>
      <c r="I602" s="2">
        <f t="shared" si="631"/>
        <v>0.31818037320787107</v>
      </c>
      <c r="J602" s="2">
        <f t="shared" si="643"/>
        <v>2.5473559312811478E-2</v>
      </c>
      <c r="K602" s="2">
        <f>D602/'Total Traffic'!D600</f>
        <v>0.48369339586376564</v>
      </c>
      <c r="L602" s="5">
        <f t="shared" si="632"/>
        <v>0.59668754172362271</v>
      </c>
      <c r="M602" s="5">
        <f t="shared" si="633"/>
        <v>0.69019712306872671</v>
      </c>
      <c r="N602" s="5">
        <f t="shared" si="634"/>
        <v>0.77259745272095715</v>
      </c>
      <c r="O602" s="5">
        <f t="shared" si="644"/>
        <v>-1.7268878887330641E-2</v>
      </c>
      <c r="P602" s="2">
        <f t="shared" ref="P602:R602" si="659">(L602/L595)-1</f>
        <v>3.8260288555512334E-2</v>
      </c>
      <c r="Q602" s="2">
        <f t="shared" si="659"/>
        <v>-2.8862388913808434E-3</v>
      </c>
      <c r="R602" s="2">
        <f t="shared" si="659"/>
        <v>-9.4565884638216913E-3</v>
      </c>
      <c r="S602" s="3"/>
    </row>
    <row r="603" spans="3:19" x14ac:dyDescent="0.25">
      <c r="C603" s="1">
        <f t="shared" si="636"/>
        <v>44065</v>
      </c>
      <c r="D603">
        <v>61540</v>
      </c>
      <c r="E603">
        <v>35139</v>
      </c>
      <c r="F603">
        <v>24196</v>
      </c>
      <c r="G603">
        <v>19160</v>
      </c>
      <c r="H603">
        <f>'Total Traffic'!D601-'Page Sessions'!D603</f>
        <v>69174</v>
      </c>
      <c r="I603" s="2">
        <f t="shared" si="631"/>
        <v>0.31134221644458887</v>
      </c>
      <c r="J603" s="2">
        <f t="shared" si="643"/>
        <v>4.4493983431844075E-2</v>
      </c>
      <c r="K603" s="2">
        <f>D603/'Total Traffic'!D601</f>
        <v>0.47079884327616017</v>
      </c>
      <c r="L603" s="5">
        <f t="shared" si="632"/>
        <v>0.57099447513812152</v>
      </c>
      <c r="M603" s="5">
        <f t="shared" si="633"/>
        <v>0.68857964085489054</v>
      </c>
      <c r="N603" s="5">
        <f t="shared" si="634"/>
        <v>0.79186642420234754</v>
      </c>
      <c r="O603" s="5">
        <f t="shared" si="644"/>
        <v>-4.0546376539488227E-2</v>
      </c>
      <c r="P603" s="2">
        <f t="shared" ref="P603:R603" si="660">(L603/L596)-1</f>
        <v>-2.2617939881093285E-3</v>
      </c>
      <c r="Q603" s="2">
        <f t="shared" si="660"/>
        <v>2.4560028630961517E-2</v>
      </c>
      <c r="R603" s="2">
        <f t="shared" si="660"/>
        <v>2.1767138901940486E-2</v>
      </c>
      <c r="S603" s="3"/>
    </row>
    <row r="604" spans="3:19" x14ac:dyDescent="0.25">
      <c r="C604" s="1">
        <f t="shared" si="636"/>
        <v>44066</v>
      </c>
      <c r="D604">
        <v>63845</v>
      </c>
      <c r="E604">
        <v>36442</v>
      </c>
      <c r="F604">
        <v>25400</v>
      </c>
      <c r="G604">
        <v>20213</v>
      </c>
      <c r="H604">
        <f>'Total Traffic'!D602-'Page Sessions'!D604</f>
        <v>66240</v>
      </c>
      <c r="I604" s="2">
        <f t="shared" si="631"/>
        <v>0.31659487822069071</v>
      </c>
      <c r="J604" s="2">
        <f t="shared" si="643"/>
        <v>2.3946908832117586E-3</v>
      </c>
      <c r="K604" s="2">
        <f>D604/'Total Traffic'!D602</f>
        <v>0.4907944805319599</v>
      </c>
      <c r="L604" s="5">
        <f t="shared" si="632"/>
        <v>0.57078862871015745</v>
      </c>
      <c r="M604" s="5">
        <f t="shared" si="633"/>
        <v>0.69699796937599479</v>
      </c>
      <c r="N604" s="5">
        <f t="shared" si="634"/>
        <v>0.7957874015748031</v>
      </c>
      <c r="O604" s="5">
        <f t="shared" si="644"/>
        <v>-1.722585304107882E-2</v>
      </c>
      <c r="P604" s="2">
        <f t="shared" ref="P604:R604" si="661">(L604/L597)-1</f>
        <v>-1.0664637062832716E-3</v>
      </c>
      <c r="Q604" s="2">
        <f t="shared" si="661"/>
        <v>5.2064222154435402E-3</v>
      </c>
      <c r="R604" s="2">
        <f t="shared" si="661"/>
        <v>-1.7325520917677029E-3</v>
      </c>
      <c r="S604" s="3"/>
    </row>
    <row r="605" spans="3:19" x14ac:dyDescent="0.25">
      <c r="C605" s="1">
        <f t="shared" si="636"/>
        <v>44067</v>
      </c>
      <c r="D605">
        <v>64679</v>
      </c>
      <c r="E605">
        <v>37914</v>
      </c>
      <c r="F605">
        <v>25675</v>
      </c>
      <c r="G605">
        <v>20501</v>
      </c>
      <c r="H605">
        <f>'Total Traffic'!D603-'Page Sessions'!D605</f>
        <v>66251</v>
      </c>
      <c r="I605" s="2">
        <f t="shared" si="631"/>
        <v>0.3169653210470168</v>
      </c>
      <c r="J605" s="2">
        <f t="shared" si="643"/>
        <v>-8.2216681919600187E-3</v>
      </c>
      <c r="K605" s="2">
        <f>D605/'Total Traffic'!D603</f>
        <v>0.49399679217902698</v>
      </c>
      <c r="L605" s="5">
        <f t="shared" si="632"/>
        <v>0.58618717048810276</v>
      </c>
      <c r="M605" s="5">
        <f t="shared" si="633"/>
        <v>0.67719048372632795</v>
      </c>
      <c r="N605" s="5">
        <f t="shared" si="634"/>
        <v>0.7984810126582278</v>
      </c>
      <c r="O605" s="5">
        <f t="shared" si="644"/>
        <v>2.9605296481692189E-2</v>
      </c>
      <c r="P605" s="2">
        <f t="shared" ref="P605:R605" si="662">(L605/L598)-1</f>
        <v>-1.4632863725454248E-2</v>
      </c>
      <c r="Q605" s="2">
        <f t="shared" si="662"/>
        <v>-2.7269679571501504E-2</v>
      </c>
      <c r="R605" s="2">
        <f t="shared" si="662"/>
        <v>3.4722966583596637E-2</v>
      </c>
      <c r="S605" s="3"/>
    </row>
    <row r="606" spans="3:19" x14ac:dyDescent="0.25">
      <c r="C606" s="1">
        <f t="shared" si="636"/>
        <v>44068</v>
      </c>
      <c r="D606">
        <v>64307</v>
      </c>
      <c r="E606">
        <v>38410</v>
      </c>
      <c r="F606">
        <v>25823</v>
      </c>
      <c r="G606">
        <v>20242</v>
      </c>
      <c r="H606">
        <f>'Total Traffic'!D604-'Page Sessions'!D606</f>
        <v>66746</v>
      </c>
      <c r="I606" s="2">
        <f t="shared" si="631"/>
        <v>0.3147713312703127</v>
      </c>
      <c r="J606" s="2">
        <f t="shared" si="643"/>
        <v>3.2248187972460984E-2</v>
      </c>
      <c r="K606" s="2">
        <f>D606/'Total Traffic'!D604</f>
        <v>0.49069460447299945</v>
      </c>
      <c r="L606" s="5">
        <f t="shared" si="632"/>
        <v>0.59729111916276612</v>
      </c>
      <c r="M606" s="5">
        <f t="shared" si="633"/>
        <v>0.67229888049986986</v>
      </c>
      <c r="N606" s="5">
        <f t="shared" si="634"/>
        <v>0.78387484025868415</v>
      </c>
      <c r="O606" s="5">
        <f t="shared" si="644"/>
        <v>1.5100814273452334E-2</v>
      </c>
      <c r="P606" s="2">
        <f t="shared" ref="P606:R606" si="663">(L606/L599)-1</f>
        <v>1.6851788886105057E-2</v>
      </c>
      <c r="Q606" s="2">
        <f t="shared" si="663"/>
        <v>-1.1341575664147729E-4</v>
      </c>
      <c r="R606" s="2">
        <f t="shared" si="663"/>
        <v>1.5256388142940169E-2</v>
      </c>
      <c r="S606" s="3"/>
    </row>
    <row r="607" spans="3:19" x14ac:dyDescent="0.25">
      <c r="C607" s="1">
        <f t="shared" si="636"/>
        <v>44069</v>
      </c>
      <c r="D607">
        <v>65309</v>
      </c>
      <c r="E607">
        <v>37245</v>
      </c>
      <c r="F607">
        <v>25740</v>
      </c>
      <c r="G607">
        <v>19819</v>
      </c>
      <c r="H607">
        <f>'Total Traffic'!D605-'Page Sessions'!D607</f>
        <v>65337</v>
      </c>
      <c r="I607" s="2">
        <f t="shared" si="631"/>
        <v>0.30346506607052626</v>
      </c>
      <c r="J607" s="2">
        <f t="shared" si="643"/>
        <v>-2.0614159836754298E-2</v>
      </c>
      <c r="K607" s="2">
        <f>D607/'Total Traffic'!D605</f>
        <v>0.49989284019411234</v>
      </c>
      <c r="L607" s="5">
        <f t="shared" si="632"/>
        <v>0.5702889341438393</v>
      </c>
      <c r="M607" s="5">
        <f t="shared" si="633"/>
        <v>0.69109947643979053</v>
      </c>
      <c r="N607" s="5">
        <f t="shared" si="634"/>
        <v>0.76996891996891992</v>
      </c>
      <c r="O607" s="5">
        <f t="shared" si="644"/>
        <v>3.9721275934326394E-2</v>
      </c>
      <c r="P607" s="2">
        <f t="shared" ref="P607:R607" si="664">(L607/L600)-1</f>
        <v>-2.5628794060869375E-2</v>
      </c>
      <c r="Q607" s="2">
        <f t="shared" si="664"/>
        <v>1.0265485543988095E-2</v>
      </c>
      <c r="R607" s="2">
        <f t="shared" si="664"/>
        <v>-5.0669372965974624E-3</v>
      </c>
      <c r="S607" s="3"/>
    </row>
    <row r="608" spans="3:19" x14ac:dyDescent="0.25">
      <c r="C608" s="1">
        <f t="shared" si="636"/>
        <v>44070</v>
      </c>
      <c r="D608">
        <v>62622</v>
      </c>
      <c r="E608">
        <v>36972</v>
      </c>
      <c r="F608">
        <v>25200</v>
      </c>
      <c r="G608">
        <v>19913</v>
      </c>
      <c r="H608">
        <f>'Total Traffic'!D606-'Page Sessions'!D608</f>
        <v>67435</v>
      </c>
      <c r="I608" s="2">
        <f t="shared" si="631"/>
        <v>0.31798728881223853</v>
      </c>
      <c r="J608" s="2">
        <f t="shared" si="643"/>
        <v>-7.0434053892205473E-3</v>
      </c>
      <c r="K608" s="2">
        <f>D608/'Total Traffic'!D606</f>
        <v>0.48149657457883849</v>
      </c>
      <c r="L608" s="5">
        <f t="shared" si="632"/>
        <v>0.59039954009772921</v>
      </c>
      <c r="M608" s="5">
        <f t="shared" si="633"/>
        <v>0.6815968841285297</v>
      </c>
      <c r="N608" s="5">
        <f t="shared" si="634"/>
        <v>0.79019841269841273</v>
      </c>
      <c r="O608" s="5">
        <f t="shared" si="644"/>
        <v>-4.1355528409836584E-3</v>
      </c>
      <c r="P608" s="2">
        <f t="shared" ref="P608:R608" si="665">(L608/L601)-1</f>
        <v>-1.6658912060220077E-3</v>
      </c>
      <c r="Q608" s="2">
        <f t="shared" si="665"/>
        <v>-2.5442909579949213E-2</v>
      </c>
      <c r="R608" s="2">
        <f t="shared" si="665"/>
        <v>2.0580038144274004E-2</v>
      </c>
      <c r="S608" s="3"/>
    </row>
    <row r="609" spans="3:19" x14ac:dyDescent="0.25">
      <c r="C609" s="1">
        <f t="shared" si="636"/>
        <v>44071</v>
      </c>
      <c r="D609">
        <v>63897</v>
      </c>
      <c r="E609">
        <v>38133</v>
      </c>
      <c r="F609">
        <v>26082</v>
      </c>
      <c r="G609">
        <v>20323</v>
      </c>
      <c r="H609">
        <f>'Total Traffic'!D607-'Page Sessions'!D609</f>
        <v>67122</v>
      </c>
      <c r="I609" s="2">
        <f t="shared" si="631"/>
        <v>0.31805875080207208</v>
      </c>
      <c r="J609" s="2">
        <f t="shared" si="643"/>
        <v>-3.8224358269745018E-4</v>
      </c>
      <c r="K609" s="2">
        <f>D609/'Total Traffic'!D607</f>
        <v>0.48769262473381725</v>
      </c>
      <c r="L609" s="5">
        <f t="shared" si="632"/>
        <v>0.59678858162355042</v>
      </c>
      <c r="M609" s="5">
        <f t="shared" si="633"/>
        <v>0.68397451026669809</v>
      </c>
      <c r="N609" s="5">
        <f t="shared" si="634"/>
        <v>0.77919638064565599</v>
      </c>
      <c r="O609" s="5">
        <f t="shared" si="644"/>
        <v>8.2681072436598946E-3</v>
      </c>
      <c r="P609" s="2">
        <f t="shared" ref="P609:R609" si="666">(L609/L602)-1</f>
        <v>1.6933469003865831E-4</v>
      </c>
      <c r="Q609" s="2">
        <f t="shared" si="666"/>
        <v>-9.0157037664282402E-3</v>
      </c>
      <c r="R609" s="2">
        <f t="shared" si="666"/>
        <v>8.5412240248250448E-3</v>
      </c>
      <c r="S609" s="3"/>
    </row>
    <row r="610" spans="3:19" x14ac:dyDescent="0.25">
      <c r="C610" s="1">
        <f t="shared" si="636"/>
        <v>44072</v>
      </c>
      <c r="D610">
        <v>64025</v>
      </c>
      <c r="E610">
        <v>36839</v>
      </c>
      <c r="F610">
        <v>25190</v>
      </c>
      <c r="G610">
        <v>19658</v>
      </c>
      <c r="H610">
        <f>'Total Traffic'!D608-'Page Sessions'!D610</f>
        <v>66746</v>
      </c>
      <c r="I610" s="2">
        <f t="shared" si="631"/>
        <v>0.30703631393986724</v>
      </c>
      <c r="J610" s="2">
        <f t="shared" si="643"/>
        <v>-1.3830127355979549E-2</v>
      </c>
      <c r="K610" s="2">
        <f>D610/'Total Traffic'!D608</f>
        <v>0.48959631722629637</v>
      </c>
      <c r="L610" s="5">
        <f t="shared" si="632"/>
        <v>0.57538461538461538</v>
      </c>
      <c r="M610" s="5">
        <f t="shared" si="633"/>
        <v>0.68378620483726482</v>
      </c>
      <c r="N610" s="5">
        <f t="shared" si="634"/>
        <v>0.78038904327113934</v>
      </c>
      <c r="O610" s="5">
        <f t="shared" si="644"/>
        <v>3.9926763242088104E-2</v>
      </c>
      <c r="P610" s="2">
        <f t="shared" ref="P610:R610" si="667">(L610/L603)-1</f>
        <v>7.688586208179915E-3</v>
      </c>
      <c r="Q610" s="2">
        <f t="shared" si="667"/>
        <v>-6.9613385775892933E-3</v>
      </c>
      <c r="R610" s="2">
        <f t="shared" si="667"/>
        <v>-1.4494087109160447E-2</v>
      </c>
      <c r="S610" s="3"/>
    </row>
    <row r="611" spans="3:19" x14ac:dyDescent="0.25">
      <c r="C611" s="1">
        <f t="shared" si="636"/>
        <v>44073</v>
      </c>
      <c r="D611">
        <v>64218</v>
      </c>
      <c r="E611">
        <v>37002</v>
      </c>
      <c r="F611">
        <v>25379</v>
      </c>
      <c r="G611">
        <v>19907</v>
      </c>
      <c r="H611">
        <f>'Total Traffic'!D609-'Page Sessions'!D611</f>
        <v>66813</v>
      </c>
      <c r="I611" s="2">
        <f t="shared" si="631"/>
        <v>0.30999096826434958</v>
      </c>
      <c r="J611" s="2">
        <f t="shared" si="643"/>
        <v>-2.0859181277524397E-2</v>
      </c>
      <c r="K611" s="2">
        <f>D611/'Total Traffic'!D609</f>
        <v>0.49009776312475672</v>
      </c>
      <c r="L611" s="5">
        <f t="shared" si="632"/>
        <v>0.57619359058207975</v>
      </c>
      <c r="M611" s="5">
        <f t="shared" si="633"/>
        <v>0.68588184422463649</v>
      </c>
      <c r="N611" s="5">
        <f t="shared" si="634"/>
        <v>0.78438866779620942</v>
      </c>
      <c r="O611" s="5">
        <f t="shared" si="644"/>
        <v>-1.4195705836952399E-3</v>
      </c>
      <c r="P611" s="2">
        <f t="shared" ref="P611:R611" si="668">(L611/L604)-1</f>
        <v>9.4692879291169429E-3</v>
      </c>
      <c r="Q611" s="2">
        <f t="shared" si="668"/>
        <v>-1.5948576093141709E-2</v>
      </c>
      <c r="R611" s="2">
        <f t="shared" si="668"/>
        <v>-1.4323842971170953E-2</v>
      </c>
      <c r="S611" s="3"/>
    </row>
    <row r="612" spans="3:19" x14ac:dyDescent="0.25">
      <c r="C612" s="1">
        <f t="shared" si="636"/>
        <v>44074</v>
      </c>
      <c r="D612">
        <v>62647</v>
      </c>
      <c r="E612">
        <v>37588</v>
      </c>
      <c r="F612">
        <v>25992</v>
      </c>
      <c r="G612">
        <v>20089</v>
      </c>
      <c r="H612">
        <f>'Total Traffic'!D610-'Page Sessions'!D612</f>
        <v>68032</v>
      </c>
      <c r="I612" s="2">
        <f t="shared" si="631"/>
        <v>0.32066978466646445</v>
      </c>
      <c r="J612" s="2">
        <f t="shared" si="643"/>
        <v>1.1687283666272696E-2</v>
      </c>
      <c r="K612" s="2">
        <f>D612/'Total Traffic'!D610</f>
        <v>0.47939607741106072</v>
      </c>
      <c r="L612" s="5">
        <f t="shared" si="632"/>
        <v>0.5999968075087394</v>
      </c>
      <c r="M612" s="5">
        <f t="shared" si="633"/>
        <v>0.69149728636798979</v>
      </c>
      <c r="N612" s="5">
        <f t="shared" si="634"/>
        <v>0.77289165897199141</v>
      </c>
      <c r="O612" s="5">
        <f t="shared" si="644"/>
        <v>-2.9556294694875085E-2</v>
      </c>
      <c r="P612" s="2">
        <f t="shared" ref="P612:R612" si="669">(L612/L605)-1</f>
        <v>2.3558408842584644E-2</v>
      </c>
      <c r="Q612" s="2">
        <f t="shared" si="669"/>
        <v>2.1126703616590747E-2</v>
      </c>
      <c r="R612" s="2">
        <f t="shared" si="669"/>
        <v>-3.2047541870841356E-2</v>
      </c>
      <c r="S612" s="3"/>
    </row>
    <row r="613" spans="3:19" x14ac:dyDescent="0.25">
      <c r="C613" s="1">
        <f t="shared" si="636"/>
        <v>44075</v>
      </c>
      <c r="D613">
        <v>61841</v>
      </c>
      <c r="E613">
        <v>35700</v>
      </c>
      <c r="F613">
        <v>24300</v>
      </c>
      <c r="G613">
        <v>19345</v>
      </c>
      <c r="H613">
        <f>'Total Traffic'!D611-'Page Sessions'!D613</f>
        <v>68847</v>
      </c>
      <c r="I613" s="2">
        <f t="shared" si="631"/>
        <v>0.31281835675361008</v>
      </c>
      <c r="J613" s="2">
        <f t="shared" si="643"/>
        <v>-6.2044230928561817E-3</v>
      </c>
      <c r="K613" s="2">
        <f>D613/'Total Traffic'!D611</f>
        <v>0.47319570274240941</v>
      </c>
      <c r="L613" s="5">
        <f t="shared" si="632"/>
        <v>0.57728691321291703</v>
      </c>
      <c r="M613" s="5">
        <f t="shared" si="633"/>
        <v>0.68067226890756305</v>
      </c>
      <c r="N613" s="5">
        <f t="shared" si="634"/>
        <v>0.79609053497942384</v>
      </c>
      <c r="O613" s="5">
        <f t="shared" si="644"/>
        <v>-3.5661492038176479E-2</v>
      </c>
      <c r="P613" s="2">
        <f t="shared" ref="P613:R613" si="670">(L613/L606)-1</f>
        <v>-3.3491550950714544E-2</v>
      </c>
      <c r="Q613" s="2">
        <f t="shared" si="670"/>
        <v>1.2454859959706299E-2</v>
      </c>
      <c r="R613" s="2">
        <f t="shared" si="670"/>
        <v>1.5583731092464248E-2</v>
      </c>
      <c r="S613" s="3"/>
    </row>
    <row r="614" spans="3:19" x14ac:dyDescent="0.25">
      <c r="C614" s="1">
        <f t="shared" si="636"/>
        <v>44076</v>
      </c>
      <c r="D614">
        <v>62204</v>
      </c>
      <c r="E614">
        <v>37086</v>
      </c>
      <c r="F614">
        <v>25737</v>
      </c>
      <c r="G614">
        <v>20489</v>
      </c>
      <c r="H614">
        <f>'Total Traffic'!D612-'Page Sessions'!D614</f>
        <v>68177</v>
      </c>
      <c r="I614" s="2">
        <f t="shared" si="631"/>
        <v>0.32938396244614493</v>
      </c>
      <c r="J614" s="2">
        <f t="shared" si="643"/>
        <v>8.540981903200362E-2</v>
      </c>
      <c r="K614" s="2">
        <f>D614/'Total Traffic'!D612</f>
        <v>0.4770940551153926</v>
      </c>
      <c r="L614" s="5">
        <f t="shared" si="632"/>
        <v>0.59619960131181271</v>
      </c>
      <c r="M614" s="5">
        <f t="shared" si="633"/>
        <v>0.69398155638246239</v>
      </c>
      <c r="N614" s="5">
        <f t="shared" si="634"/>
        <v>0.7960912305241481</v>
      </c>
      <c r="O614" s="5">
        <f t="shared" si="644"/>
        <v>-4.5607344705850927E-2</v>
      </c>
      <c r="P614" s="2">
        <f t="shared" ref="P614:R614" si="671">(L614/L607)-1</f>
        <v>4.5434280093252122E-2</v>
      </c>
      <c r="Q614" s="2">
        <f t="shared" si="671"/>
        <v>4.1702823412903545E-3</v>
      </c>
      <c r="R614" s="2">
        <f t="shared" si="671"/>
        <v>3.3926448039334645E-2</v>
      </c>
      <c r="S614" s="3"/>
    </row>
    <row r="615" spans="3:19" x14ac:dyDescent="0.25">
      <c r="C615" s="1">
        <f t="shared" si="636"/>
        <v>44077</v>
      </c>
      <c r="D615">
        <v>61393</v>
      </c>
      <c r="E615">
        <v>35736</v>
      </c>
      <c r="F615">
        <v>24132</v>
      </c>
      <c r="G615">
        <v>19006</v>
      </c>
      <c r="H615">
        <f>'Total Traffic'!D613-'Page Sessions'!D615</f>
        <v>68815</v>
      </c>
      <c r="I615" s="2">
        <f t="shared" si="631"/>
        <v>0.30957926799472252</v>
      </c>
      <c r="J615" s="2">
        <f t="shared" si="643"/>
        <v>-2.6441373958443593E-2</v>
      </c>
      <c r="K615" s="2">
        <f>D615/'Total Traffic'!D613</f>
        <v>0.47149944703858443</v>
      </c>
      <c r="L615" s="5">
        <f t="shared" si="632"/>
        <v>0.58208590555926576</v>
      </c>
      <c r="M615" s="5">
        <f t="shared" si="633"/>
        <v>0.67528542646071188</v>
      </c>
      <c r="N615" s="5">
        <f t="shared" si="634"/>
        <v>0.78758494944472068</v>
      </c>
      <c r="O615" s="5">
        <f t="shared" si="644"/>
        <v>-2.0762614041436311E-2</v>
      </c>
      <c r="P615" s="2">
        <f t="shared" ref="P615:R615" si="672">(L615/L608)-1</f>
        <v>-1.4081370282042038E-2</v>
      </c>
      <c r="Q615" s="2">
        <f t="shared" si="672"/>
        <v>-9.2598100354984725E-3</v>
      </c>
      <c r="R615" s="2">
        <f t="shared" si="672"/>
        <v>-3.3073506750885828E-3</v>
      </c>
      <c r="S615" s="3"/>
    </row>
    <row r="616" spans="3:19" x14ac:dyDescent="0.25">
      <c r="C616" s="1">
        <f t="shared" si="636"/>
        <v>44078</v>
      </c>
      <c r="D616">
        <v>64327</v>
      </c>
      <c r="E616">
        <v>37226</v>
      </c>
      <c r="F616">
        <v>25611</v>
      </c>
      <c r="G616">
        <v>19930</v>
      </c>
      <c r="H616">
        <f>'Total Traffic'!D614-'Page Sessions'!D616</f>
        <v>66287</v>
      </c>
      <c r="I616" s="2">
        <f t="shared" si="631"/>
        <v>0.30982324684813534</v>
      </c>
      <c r="J616" s="2">
        <f t="shared" si="643"/>
        <v>-2.5893027414490732E-2</v>
      </c>
      <c r="K616" s="2">
        <f>D616/'Total Traffic'!D614</f>
        <v>0.49249697582188739</v>
      </c>
      <c r="L616" s="5">
        <f t="shared" si="632"/>
        <v>0.57869945745954265</v>
      </c>
      <c r="M616" s="5">
        <f t="shared" si="633"/>
        <v>0.68798689088271636</v>
      </c>
      <c r="N616" s="5">
        <f t="shared" si="634"/>
        <v>0.77818125024403573</v>
      </c>
      <c r="O616" s="5">
        <f t="shared" si="644"/>
        <v>9.8511866786838986E-3</v>
      </c>
      <c r="P616" s="2">
        <f t="shared" ref="P616:R616" si="673">(L616/L609)-1</f>
        <v>-3.0310774570781351E-2</v>
      </c>
      <c r="Q616" s="2">
        <f t="shared" si="673"/>
        <v>5.866272142881046E-3</v>
      </c>
      <c r="R616" s="2">
        <f t="shared" si="673"/>
        <v>-1.3027914744407898E-3</v>
      </c>
      <c r="S616" s="3"/>
    </row>
    <row r="617" spans="3:19" x14ac:dyDescent="0.25">
      <c r="C617" s="1">
        <f t="shared" si="636"/>
        <v>44079</v>
      </c>
      <c r="D617">
        <v>64755</v>
      </c>
      <c r="E617">
        <v>38283</v>
      </c>
      <c r="F617">
        <v>26093</v>
      </c>
      <c r="G617">
        <v>20751</v>
      </c>
      <c r="H617">
        <f>'Total Traffic'!D615-'Page Sessions'!D617</f>
        <v>65643</v>
      </c>
      <c r="I617" s="2">
        <f t="shared" si="631"/>
        <v>0.32045401899467224</v>
      </c>
      <c r="J617" s="2">
        <f t="shared" si="643"/>
        <v>4.3700710455483183E-2</v>
      </c>
      <c r="K617" s="2">
        <f>D617/'Total Traffic'!D615</f>
        <v>0.49659503980122394</v>
      </c>
      <c r="L617" s="5">
        <f t="shared" si="632"/>
        <v>0.5911975909196201</v>
      </c>
      <c r="M617" s="5">
        <f t="shared" si="633"/>
        <v>0.68158190319462952</v>
      </c>
      <c r="N617" s="5">
        <f t="shared" si="634"/>
        <v>0.79527076227340665</v>
      </c>
      <c r="O617" s="5">
        <f t="shared" si="644"/>
        <v>1.4294884027268306E-2</v>
      </c>
      <c r="P617" s="2">
        <f t="shared" ref="P617:R617" si="674">(L617/L610)-1</f>
        <v>2.7482444111639248E-2</v>
      </c>
      <c r="Q617" s="2">
        <f t="shared" si="674"/>
        <v>-3.2236708302120221E-3</v>
      </c>
      <c r="R617" s="2">
        <f t="shared" si="674"/>
        <v>1.9069615508551907E-2</v>
      </c>
      <c r="S617" s="3"/>
    </row>
    <row r="618" spans="3:19" x14ac:dyDescent="0.25">
      <c r="C618" s="1">
        <f t="shared" si="636"/>
        <v>44080</v>
      </c>
      <c r="D618">
        <v>63053</v>
      </c>
      <c r="E618">
        <v>37043</v>
      </c>
      <c r="F618">
        <v>25285</v>
      </c>
      <c r="G618">
        <v>20119</v>
      </c>
      <c r="H618">
        <f>'Total Traffic'!D616-'Page Sessions'!D618</f>
        <v>67790</v>
      </c>
      <c r="I618" s="2">
        <f t="shared" si="631"/>
        <v>0.31908077331768514</v>
      </c>
      <c r="J618" s="2">
        <f t="shared" si="643"/>
        <v>2.9322806094092657E-2</v>
      </c>
      <c r="K618" s="2">
        <f>D618/'Total Traffic'!D616</f>
        <v>0.48189815274794984</v>
      </c>
      <c r="L618" s="5">
        <f t="shared" si="632"/>
        <v>0.5874898894580749</v>
      </c>
      <c r="M618" s="5">
        <f t="shared" si="633"/>
        <v>0.68258510379828852</v>
      </c>
      <c r="N618" s="5">
        <f t="shared" si="634"/>
        <v>0.79568914376112321</v>
      </c>
      <c r="O618" s="5">
        <f t="shared" si="644"/>
        <v>-1.6730560703905217E-2</v>
      </c>
      <c r="P618" s="2">
        <f t="shared" ref="P618:R618" si="675">(L618/L611)-1</f>
        <v>1.96050408415398E-2</v>
      </c>
      <c r="Q618" s="2">
        <f t="shared" si="675"/>
        <v>-4.8065719396244155E-3</v>
      </c>
      <c r="R618" s="2">
        <f t="shared" si="675"/>
        <v>1.4406730271439461E-2</v>
      </c>
      <c r="S618" s="3"/>
    </row>
    <row r="619" spans="3:19" x14ac:dyDescent="0.25">
      <c r="C619" s="1">
        <f t="shared" si="636"/>
        <v>44081</v>
      </c>
      <c r="D619">
        <v>64470</v>
      </c>
      <c r="E619">
        <v>37160</v>
      </c>
      <c r="F619">
        <v>25265</v>
      </c>
      <c r="G619">
        <v>19997</v>
      </c>
      <c r="H619">
        <f>'Total Traffic'!D617-'Page Sessions'!D619</f>
        <v>65643</v>
      </c>
      <c r="I619" s="2">
        <f t="shared" si="631"/>
        <v>0.31017527532185513</v>
      </c>
      <c r="J619" s="2">
        <f t="shared" si="643"/>
        <v>-3.2726841899135883E-2</v>
      </c>
      <c r="K619" s="2">
        <f>D619/'Total Traffic'!D617</f>
        <v>0.49549237970072169</v>
      </c>
      <c r="L619" s="5">
        <f t="shared" si="632"/>
        <v>0.57639212036606169</v>
      </c>
      <c r="M619" s="5">
        <f t="shared" si="633"/>
        <v>0.67989773950484389</v>
      </c>
      <c r="N619" s="5">
        <f t="shared" si="634"/>
        <v>0.79149020383930335</v>
      </c>
      <c r="O619" s="5">
        <f t="shared" si="644"/>
        <v>3.3576207749941744E-2</v>
      </c>
      <c r="P619" s="2">
        <f t="shared" ref="P619:R619" si="676">(L619/L612)-1</f>
        <v>-3.9341354566013953E-2</v>
      </c>
      <c r="Q619" s="2">
        <f t="shared" si="676"/>
        <v>-1.6774537068787621E-2</v>
      </c>
      <c r="R619" s="2">
        <f t="shared" si="676"/>
        <v>2.406358595207192E-2</v>
      </c>
      <c r="S619" s="3"/>
    </row>
    <row r="620" spans="3:19" x14ac:dyDescent="0.25">
      <c r="C620" s="1">
        <f t="shared" si="636"/>
        <v>44082</v>
      </c>
      <c r="D620">
        <v>64472</v>
      </c>
      <c r="E620">
        <v>37181</v>
      </c>
      <c r="F620">
        <v>25632</v>
      </c>
      <c r="G620">
        <v>20272</v>
      </c>
      <c r="H620">
        <f>'Total Traffic'!D618-'Page Sessions'!D620</f>
        <v>65881</v>
      </c>
      <c r="I620" s="2">
        <f t="shared" si="631"/>
        <v>0.31443107085246308</v>
      </c>
      <c r="J620" s="2">
        <f t="shared" si="643"/>
        <v>5.1554330621437217E-3</v>
      </c>
      <c r="K620" s="2">
        <f>D620/'Total Traffic'!D618</f>
        <v>0.49459544467714589</v>
      </c>
      <c r="L620" s="5">
        <f t="shared" si="632"/>
        <v>0.57669996277453783</v>
      </c>
      <c r="M620" s="5">
        <f t="shared" si="633"/>
        <v>0.68938436298109251</v>
      </c>
      <c r="N620" s="5">
        <f t="shared" si="634"/>
        <v>0.79088639200998756</v>
      </c>
      <c r="O620" s="5">
        <f t="shared" si="644"/>
        <v>4.5223872090794703E-2</v>
      </c>
      <c r="P620" s="2">
        <f t="shared" ref="P620:R620" si="677">(L620/L613)-1</f>
        <v>-1.0167395534960155E-3</v>
      </c>
      <c r="Q620" s="2">
        <f t="shared" si="677"/>
        <v>1.2799249317901218E-2</v>
      </c>
      <c r="R620" s="2">
        <f t="shared" si="677"/>
        <v>-6.5371245364332919E-3</v>
      </c>
      <c r="S620" s="3"/>
    </row>
    <row r="621" spans="3:19" x14ac:dyDescent="0.25">
      <c r="C621" s="1">
        <f t="shared" si="636"/>
        <v>44083</v>
      </c>
      <c r="D621">
        <v>62235</v>
      </c>
      <c r="E621">
        <v>36096</v>
      </c>
      <c r="F621">
        <v>24285</v>
      </c>
      <c r="G621">
        <v>19374</v>
      </c>
      <c r="H621">
        <f>'Total Traffic'!D619-'Page Sessions'!D621</f>
        <v>67993</v>
      </c>
      <c r="I621" s="2">
        <f t="shared" si="631"/>
        <v>0.31130392865750783</v>
      </c>
      <c r="J621" s="2">
        <f t="shared" si="643"/>
        <v>-5.4890449596777913E-2</v>
      </c>
      <c r="K621" s="2">
        <f>D621/'Total Traffic'!D619</f>
        <v>0.47789261909881131</v>
      </c>
      <c r="L621" s="5">
        <f t="shared" si="632"/>
        <v>0.57999517956134006</v>
      </c>
      <c r="M621" s="5">
        <f t="shared" si="633"/>
        <v>0.6727892287234043</v>
      </c>
      <c r="N621" s="5">
        <f t="shared" si="634"/>
        <v>0.79777640518838788</v>
      </c>
      <c r="O621" s="5">
        <f t="shared" si="644"/>
        <v>1.673808287603995E-3</v>
      </c>
      <c r="P621" s="2">
        <f t="shared" ref="P621:R621" si="678">(L621/L614)-1</f>
        <v>-2.7179524633727081E-2</v>
      </c>
      <c r="Q621" s="2">
        <f t="shared" si="678"/>
        <v>-3.0537306739861991E-2</v>
      </c>
      <c r="R621" s="2">
        <f t="shared" si="678"/>
        <v>2.1168109880198571E-3</v>
      </c>
      <c r="S621" s="3"/>
    </row>
    <row r="622" spans="3:19" x14ac:dyDescent="0.25">
      <c r="C622" s="1">
        <f t="shared" si="636"/>
        <v>44084</v>
      </c>
      <c r="D622">
        <v>62082</v>
      </c>
      <c r="E622">
        <v>37081</v>
      </c>
      <c r="F622">
        <v>25508</v>
      </c>
      <c r="G622">
        <v>20189</v>
      </c>
      <c r="H622">
        <f>'Total Traffic'!D620-'Page Sessions'!D622</f>
        <v>68811</v>
      </c>
      <c r="I622" s="2">
        <f t="shared" si="631"/>
        <v>0.3251989304468284</v>
      </c>
      <c r="J622" s="2">
        <f t="shared" si="643"/>
        <v>5.0454484737563865E-2</v>
      </c>
      <c r="K622" s="2">
        <f>D622/'Total Traffic'!D620</f>
        <v>0.47429579885860973</v>
      </c>
      <c r="L622" s="5">
        <f t="shared" si="632"/>
        <v>0.59729068006829678</v>
      </c>
      <c r="M622" s="5">
        <f t="shared" si="633"/>
        <v>0.68789946333701901</v>
      </c>
      <c r="N622" s="5">
        <f t="shared" si="634"/>
        <v>0.79147718362866548</v>
      </c>
      <c r="O622" s="5">
        <f t="shared" si="644"/>
        <v>5.9307637317260742E-3</v>
      </c>
      <c r="P622" s="2">
        <f t="shared" ref="P622:R622" si="679">(L622/L615)-1</f>
        <v>2.6121186518718975E-2</v>
      </c>
      <c r="Q622" s="2">
        <f t="shared" si="679"/>
        <v>1.8679563310612934E-2</v>
      </c>
      <c r="R622" s="2">
        <f t="shared" si="679"/>
        <v>4.9419864951572023E-3</v>
      </c>
      <c r="S622" s="3"/>
    </row>
    <row r="623" spans="3:19" x14ac:dyDescent="0.25">
      <c r="C623" s="1">
        <f t="shared" si="636"/>
        <v>44085</v>
      </c>
      <c r="D623">
        <v>63685</v>
      </c>
      <c r="E623">
        <v>37217</v>
      </c>
      <c r="F623">
        <v>25471</v>
      </c>
      <c r="G623">
        <v>20078</v>
      </c>
      <c r="H623">
        <f>'Total Traffic'!D621-'Page Sessions'!D623</f>
        <v>66577</v>
      </c>
      <c r="I623" s="2">
        <f t="shared" si="631"/>
        <v>0.3152704718536547</v>
      </c>
      <c r="J623" s="2">
        <f t="shared" si="643"/>
        <v>1.7581718160062376E-2</v>
      </c>
      <c r="K623" s="2">
        <f>D623/'Total Traffic'!D621</f>
        <v>0.48889929526646297</v>
      </c>
      <c r="L623" s="5">
        <f t="shared" si="632"/>
        <v>0.58439192902567327</v>
      </c>
      <c r="M623" s="5">
        <f t="shared" si="633"/>
        <v>0.68439154149985226</v>
      </c>
      <c r="N623" s="5">
        <f t="shared" si="634"/>
        <v>0.78826901181736087</v>
      </c>
      <c r="O623" s="5">
        <f t="shared" si="644"/>
        <v>-7.3049799938782467E-3</v>
      </c>
      <c r="P623" s="2">
        <f t="shared" ref="P623:R623" si="680">(L623/L616)-1</f>
        <v>9.8366630428863289E-3</v>
      </c>
      <c r="Q623" s="2">
        <f t="shared" si="680"/>
        <v>-5.2258980956033652E-3</v>
      </c>
      <c r="R623" s="2">
        <f t="shared" si="680"/>
        <v>1.2963254473378427E-2</v>
      </c>
      <c r="S623" s="3"/>
    </row>
    <row r="624" spans="3:19" x14ac:dyDescent="0.25">
      <c r="C624" s="1">
        <f t="shared" si="636"/>
        <v>44086</v>
      </c>
      <c r="D624">
        <v>70119</v>
      </c>
      <c r="E624">
        <v>40521</v>
      </c>
      <c r="F624">
        <v>27797</v>
      </c>
      <c r="G624">
        <v>21840</v>
      </c>
      <c r="H624">
        <f>'Total Traffic'!D622-'Page Sessions'!D624</f>
        <v>75509</v>
      </c>
      <c r="I624" s="2">
        <f t="shared" si="631"/>
        <v>0.31147050014974542</v>
      </c>
      <c r="J624" s="2">
        <f t="shared" si="643"/>
        <v>-2.8033721883438667E-2</v>
      </c>
      <c r="K624" s="2">
        <f>D624/'Total Traffic'!D622</f>
        <v>0.48149394347240915</v>
      </c>
      <c r="L624" s="5">
        <f t="shared" si="632"/>
        <v>0.57788901724211694</v>
      </c>
      <c r="M624" s="5">
        <f t="shared" si="633"/>
        <v>0.68598998050393623</v>
      </c>
      <c r="N624" s="5">
        <f t="shared" si="634"/>
        <v>0.78569629816167208</v>
      </c>
      <c r="O624" s="5">
        <f t="shared" si="644"/>
        <v>-3.0409277416180824E-2</v>
      </c>
      <c r="P624" s="2">
        <f t="shared" ref="P624:R624" si="681">(L624/L617)-1</f>
        <v>-2.2511210941846715E-2</v>
      </c>
      <c r="Q624" s="2">
        <f t="shared" si="681"/>
        <v>6.4674212866357994E-3</v>
      </c>
      <c r="R624" s="2">
        <f t="shared" si="681"/>
        <v>-1.2039250738156704E-2</v>
      </c>
      <c r="S624" s="3"/>
    </row>
    <row r="625" spans="3:19" x14ac:dyDescent="0.25">
      <c r="C625" s="1">
        <f t="shared" si="636"/>
        <v>44087</v>
      </c>
      <c r="D625">
        <v>65226</v>
      </c>
      <c r="E625">
        <v>37765</v>
      </c>
      <c r="F625">
        <v>26205</v>
      </c>
      <c r="G625">
        <v>20943</v>
      </c>
      <c r="H625">
        <f>'Total Traffic'!D623-'Page Sessions'!D625</f>
        <v>65541</v>
      </c>
      <c r="I625" s="2">
        <f t="shared" si="631"/>
        <v>0.32108361696256094</v>
      </c>
      <c r="J625" s="2">
        <f t="shared" si="643"/>
        <v>6.2769173587331473E-3</v>
      </c>
      <c r="K625" s="2">
        <f>D625/'Total Traffic'!D623</f>
        <v>0.49879556768909589</v>
      </c>
      <c r="L625" s="5">
        <f t="shared" si="632"/>
        <v>0.57898690706160116</v>
      </c>
      <c r="M625" s="5">
        <f t="shared" si="633"/>
        <v>0.69389646498080237</v>
      </c>
      <c r="N625" s="5">
        <f t="shared" si="634"/>
        <v>0.79919862621637094</v>
      </c>
      <c r="O625" s="5">
        <f t="shared" si="644"/>
        <v>3.5064286602451533E-2</v>
      </c>
      <c r="P625" s="2">
        <f t="shared" ref="P625:R625" si="682">(L625/L618)-1</f>
        <v>-1.4473410605103765E-2</v>
      </c>
      <c r="Q625" s="2">
        <f t="shared" si="682"/>
        <v>1.6571356625820099E-2</v>
      </c>
      <c r="R625" s="2">
        <f t="shared" si="682"/>
        <v>4.4106200050171296E-3</v>
      </c>
      <c r="S625" s="3"/>
    </row>
    <row r="626" spans="3:19" x14ac:dyDescent="0.25">
      <c r="C626" s="1">
        <f t="shared" si="636"/>
        <v>44088</v>
      </c>
      <c r="D626">
        <v>64285</v>
      </c>
      <c r="E626">
        <v>37973</v>
      </c>
      <c r="F626">
        <v>25673</v>
      </c>
      <c r="G626">
        <v>19953</v>
      </c>
      <c r="H626">
        <f>'Total Traffic'!D624-'Page Sessions'!D626</f>
        <v>65769</v>
      </c>
      <c r="I626" s="2">
        <f t="shared" si="631"/>
        <v>0.31038344870498563</v>
      </c>
      <c r="J626" s="2">
        <f t="shared" si="643"/>
        <v>6.7114757265707148E-4</v>
      </c>
      <c r="K626" s="2">
        <f>D626/'Total Traffic'!D624</f>
        <v>0.49429467759546036</v>
      </c>
      <c r="L626" s="5">
        <f t="shared" si="632"/>
        <v>0.59069767441860466</v>
      </c>
      <c r="M626" s="5">
        <f t="shared" si="633"/>
        <v>0.67608563979669767</v>
      </c>
      <c r="N626" s="5">
        <f t="shared" si="634"/>
        <v>0.77719783430062717</v>
      </c>
      <c r="O626" s="5">
        <f t="shared" si="644"/>
        <v>-2.4171958123447856E-3</v>
      </c>
      <c r="P626" s="2">
        <f t="shared" ref="P626:R626" si="683">(L626/L619)-1</f>
        <v>2.4819135354344546E-2</v>
      </c>
      <c r="Q626" s="2">
        <f t="shared" si="683"/>
        <v>-5.6068721612789751E-3</v>
      </c>
      <c r="R626" s="2">
        <f t="shared" si="683"/>
        <v>-1.8057544451400398E-2</v>
      </c>
      <c r="S626" s="3"/>
    </row>
    <row r="627" spans="3:19" x14ac:dyDescent="0.25">
      <c r="C627" s="1">
        <f t="shared" si="636"/>
        <v>44089</v>
      </c>
      <c r="D627">
        <v>64870</v>
      </c>
      <c r="E627">
        <v>38150</v>
      </c>
      <c r="F627">
        <v>25720</v>
      </c>
      <c r="G627">
        <v>20061</v>
      </c>
      <c r="H627">
        <f>'Total Traffic'!D625-'Page Sessions'!D627</f>
        <v>65235</v>
      </c>
      <c r="I627" s="2">
        <f t="shared" si="631"/>
        <v>0.30924926776630185</v>
      </c>
      <c r="J627" s="2">
        <f t="shared" si="643"/>
        <v>-1.6479933335190711E-2</v>
      </c>
      <c r="K627" s="2">
        <f>D627/'Total Traffic'!D625</f>
        <v>0.49859728680680987</v>
      </c>
      <c r="L627" s="5">
        <f t="shared" si="632"/>
        <v>0.58809927547402496</v>
      </c>
      <c r="M627" s="5">
        <f t="shared" si="633"/>
        <v>0.67418086500655305</v>
      </c>
      <c r="N627" s="5">
        <f t="shared" si="634"/>
        <v>0.77997667185069985</v>
      </c>
      <c r="O627" s="5">
        <f t="shared" si="644"/>
        <v>8.0911423118266157E-3</v>
      </c>
      <c r="P627" s="2">
        <f t="shared" ref="P627:R627" si="684">(L627/L620)-1</f>
        <v>1.9766452983011051E-2</v>
      </c>
      <c r="Q627" s="2">
        <f t="shared" si="684"/>
        <v>-2.2053731983120772E-2</v>
      </c>
      <c r="R627" s="2">
        <f t="shared" si="684"/>
        <v>-1.3794294944892593E-2</v>
      </c>
      <c r="S627" s="3"/>
    </row>
    <row r="628" spans="3:19" x14ac:dyDescent="0.25">
      <c r="C628" s="1">
        <f t="shared" si="636"/>
        <v>44090</v>
      </c>
      <c r="D628">
        <v>61384</v>
      </c>
      <c r="E628">
        <v>35258</v>
      </c>
      <c r="F628">
        <v>24631</v>
      </c>
      <c r="G628">
        <v>19559</v>
      </c>
      <c r="H628">
        <f>'Total Traffic'!D626-'Page Sessions'!D628</f>
        <v>69139</v>
      </c>
      <c r="I628" s="2">
        <f t="shared" si="631"/>
        <v>0.31863352013554019</v>
      </c>
      <c r="J628" s="2">
        <f t="shared" si="643"/>
        <v>2.3544808797117067E-2</v>
      </c>
      <c r="K628" s="2">
        <f>D628/'Total Traffic'!D626</f>
        <v>0.4702925921102028</v>
      </c>
      <c r="L628" s="5">
        <f t="shared" si="632"/>
        <v>0.57438420435292581</v>
      </c>
      <c r="M628" s="5">
        <f t="shared" si="633"/>
        <v>0.69859322706903393</v>
      </c>
      <c r="N628" s="5">
        <f t="shared" si="634"/>
        <v>0.79408063010028018</v>
      </c>
      <c r="O628" s="5">
        <f t="shared" si="644"/>
        <v>-1.5903210647907229E-2</v>
      </c>
      <c r="P628" s="2">
        <f t="shared" ref="P628:R628" si="685">(L628/L621)-1</f>
        <v>-9.6741755899728554E-3</v>
      </c>
      <c r="Q628" s="2">
        <f t="shared" si="685"/>
        <v>3.8353762581175399E-2</v>
      </c>
      <c r="R628" s="2">
        <f t="shared" si="685"/>
        <v>-4.6325951282489841E-3</v>
      </c>
      <c r="S628" s="3"/>
    </row>
    <row r="629" spans="3:19" x14ac:dyDescent="0.25">
      <c r="C629" s="1">
        <f t="shared" si="636"/>
        <v>44091</v>
      </c>
      <c r="D629">
        <v>65383</v>
      </c>
      <c r="E629">
        <v>37778</v>
      </c>
      <c r="F629">
        <v>25715</v>
      </c>
      <c r="G629">
        <v>20232</v>
      </c>
      <c r="H629">
        <f>'Total Traffic'!D627-'Page Sessions'!D629</f>
        <v>65383</v>
      </c>
      <c r="I629" s="2">
        <f t="shared" si="631"/>
        <v>0.30943823317987856</v>
      </c>
      <c r="J629" s="2">
        <f t="shared" si="643"/>
        <v>-4.8464788138430803E-2</v>
      </c>
      <c r="K629" s="2">
        <f>D629/'Total Traffic'!D627</f>
        <v>0.5</v>
      </c>
      <c r="L629" s="5">
        <f t="shared" si="632"/>
        <v>0.57779545141703503</v>
      </c>
      <c r="M629" s="5">
        <f t="shared" si="633"/>
        <v>0.68068717242839749</v>
      </c>
      <c r="N629" s="5">
        <f t="shared" si="634"/>
        <v>0.78677814505152632</v>
      </c>
      <c r="O629" s="5">
        <f t="shared" si="644"/>
        <v>5.4194452498308676E-2</v>
      </c>
      <c r="P629" s="2">
        <f t="shared" ref="P629:R629" si="686">(L629/L622)-1</f>
        <v>-3.2639432192433593E-2</v>
      </c>
      <c r="Q629" s="2">
        <f t="shared" si="686"/>
        <v>-1.0484513061886247E-2</v>
      </c>
      <c r="R629" s="2">
        <f t="shared" si="686"/>
        <v>-5.9370486911518583E-3</v>
      </c>
      <c r="S629" s="3"/>
    </row>
    <row r="630" spans="3:19" x14ac:dyDescent="0.25">
      <c r="C630" s="1">
        <f t="shared" si="636"/>
        <v>44092</v>
      </c>
      <c r="D630">
        <v>63264</v>
      </c>
      <c r="E630">
        <v>36231</v>
      </c>
      <c r="F630">
        <v>24637</v>
      </c>
      <c r="G630">
        <v>19029</v>
      </c>
      <c r="H630">
        <f>'Total Traffic'!D628-'Page Sessions'!D630</f>
        <v>67718</v>
      </c>
      <c r="I630" s="2">
        <f t="shared" si="631"/>
        <v>0.3007871775417299</v>
      </c>
      <c r="J630" s="2">
        <f t="shared" si="643"/>
        <v>-4.5939266772334397E-2</v>
      </c>
      <c r="K630" s="2">
        <f>D630/'Total Traffic'!D628</f>
        <v>0.48299766380113296</v>
      </c>
      <c r="L630" s="5">
        <f t="shared" si="632"/>
        <v>0.57269537177541729</v>
      </c>
      <c r="M630" s="5">
        <f t="shared" si="633"/>
        <v>0.67999779194612353</v>
      </c>
      <c r="N630" s="5">
        <f t="shared" si="634"/>
        <v>0.77237488330559723</v>
      </c>
      <c r="O630" s="5">
        <f t="shared" si="644"/>
        <v>-1.2071261960223234E-2</v>
      </c>
      <c r="P630" s="2">
        <f t="shared" ref="P630:R630" si="687">(L630/L623)-1</f>
        <v>-2.0014919216555627E-2</v>
      </c>
      <c r="Q630" s="2">
        <f t="shared" si="687"/>
        <v>-6.4199355008096592E-3</v>
      </c>
      <c r="R630" s="2">
        <f t="shared" si="687"/>
        <v>-2.0163330377683586E-2</v>
      </c>
      <c r="S630" s="3"/>
    </row>
    <row r="631" spans="3:19" x14ac:dyDescent="0.25">
      <c r="C631" s="1">
        <f t="shared" si="636"/>
        <v>44093</v>
      </c>
      <c r="D631">
        <v>62303</v>
      </c>
      <c r="E631">
        <v>36478</v>
      </c>
      <c r="F631">
        <v>25031</v>
      </c>
      <c r="G631">
        <v>19511</v>
      </c>
      <c r="H631">
        <f>'Total Traffic'!D629-'Page Sessions'!D631</f>
        <v>68505</v>
      </c>
      <c r="I631" s="2">
        <f t="shared" si="631"/>
        <v>0.3131630900598687</v>
      </c>
      <c r="J631" s="2">
        <f t="shared" si="643"/>
        <v>5.4341901056746966E-3</v>
      </c>
      <c r="K631" s="2">
        <f>D631/'Total Traffic'!D629</f>
        <v>0.47629349886857075</v>
      </c>
      <c r="L631" s="5">
        <f t="shared" si="632"/>
        <v>0.58549347543456975</v>
      </c>
      <c r="M631" s="5">
        <f t="shared" si="633"/>
        <v>0.68619441855364882</v>
      </c>
      <c r="N631" s="5">
        <f t="shared" si="634"/>
        <v>0.77947345291838122</v>
      </c>
      <c r="O631" s="5">
        <f t="shared" si="644"/>
        <v>-1.0800643859264603E-2</v>
      </c>
      <c r="P631" s="2">
        <f t="shared" ref="P631:R631" si="688">(L631/L624)-1</f>
        <v>1.3159028750440394E-2</v>
      </c>
      <c r="Q631" s="2">
        <f t="shared" si="688"/>
        <v>2.9801900249681879E-4</v>
      </c>
      <c r="R631" s="2">
        <f t="shared" si="688"/>
        <v>-7.9201661734320528E-3</v>
      </c>
      <c r="S631" s="3"/>
    </row>
    <row r="632" spans="3:19" x14ac:dyDescent="0.25">
      <c r="C632" s="1">
        <f t="shared" si="636"/>
        <v>44094</v>
      </c>
      <c r="D632">
        <v>64075</v>
      </c>
      <c r="E632">
        <v>38009</v>
      </c>
      <c r="F632">
        <v>26374</v>
      </c>
      <c r="G632">
        <v>20521</v>
      </c>
      <c r="H632">
        <f>'Total Traffic'!D630-'Page Sessions'!D632</f>
        <v>66133</v>
      </c>
      <c r="I632" s="2">
        <f t="shared" si="631"/>
        <v>0.3202653140850566</v>
      </c>
      <c r="J632" s="2">
        <f t="shared" si="643"/>
        <v>-2.5485662745594606E-3</v>
      </c>
      <c r="K632" s="2">
        <f>D632/'Total Traffic'!D630</f>
        <v>0.492097259768985</v>
      </c>
      <c r="L632" s="5">
        <f t="shared" si="632"/>
        <v>0.59319547405384321</v>
      </c>
      <c r="M632" s="5">
        <f t="shared" si="633"/>
        <v>0.69388828961561733</v>
      </c>
      <c r="N632" s="5">
        <f t="shared" si="634"/>
        <v>0.77807689391066959</v>
      </c>
      <c r="O632" s="5">
        <f t="shared" si="644"/>
        <v>-1.3428964397466325E-2</v>
      </c>
      <c r="P632" s="2">
        <f t="shared" ref="P632:R632" si="689">(L632/L625)-1</f>
        <v>2.454039429725885E-2</v>
      </c>
      <c r="Q632" s="2">
        <f t="shared" si="689"/>
        <v>-1.1781822790046803E-5</v>
      </c>
      <c r="R632" s="2">
        <f t="shared" si="689"/>
        <v>-2.6428639405572496E-2</v>
      </c>
      <c r="S632" s="3"/>
    </row>
    <row r="633" spans="3:19" x14ac:dyDescent="0.25">
      <c r="C633" s="1">
        <f t="shared" si="636"/>
        <v>44095</v>
      </c>
      <c r="D633">
        <v>62740</v>
      </c>
      <c r="E633">
        <v>37644</v>
      </c>
      <c r="F633">
        <v>26109</v>
      </c>
      <c r="G633">
        <v>20654</v>
      </c>
      <c r="H633">
        <f>'Total Traffic'!D631-'Page Sessions'!D633</f>
        <v>68215</v>
      </c>
      <c r="I633" s="2">
        <f t="shared" si="631"/>
        <v>0.32919987248963978</v>
      </c>
      <c r="J633" s="2">
        <f t="shared" si="643"/>
        <v>6.0623154563047787E-2</v>
      </c>
      <c r="K633" s="2">
        <f>D633/'Total Traffic'!D631</f>
        <v>0.47909587262800196</v>
      </c>
      <c r="L633" s="5">
        <f t="shared" si="632"/>
        <v>0.6</v>
      </c>
      <c r="M633" s="5">
        <f t="shared" si="633"/>
        <v>0.69357666560408038</v>
      </c>
      <c r="N633" s="5">
        <f t="shared" si="634"/>
        <v>0.79106821402581484</v>
      </c>
      <c r="O633" s="5">
        <f t="shared" si="644"/>
        <v>-3.0748469802252987E-2</v>
      </c>
      <c r="P633" s="2">
        <f t="shared" ref="P633:R633" si="690">(L633/L626)-1</f>
        <v>1.5748031496062964E-2</v>
      </c>
      <c r="Q633" s="2">
        <f t="shared" si="690"/>
        <v>2.5871021033137653E-2</v>
      </c>
      <c r="R633" s="2">
        <f t="shared" si="690"/>
        <v>1.7846652567771404E-2</v>
      </c>
      <c r="S633" s="3"/>
    </row>
    <row r="634" spans="3:19" x14ac:dyDescent="0.25">
      <c r="C634" s="1">
        <f t="shared" si="636"/>
        <v>44096</v>
      </c>
      <c r="D634">
        <v>62633</v>
      </c>
      <c r="E634">
        <v>35838</v>
      </c>
      <c r="F634">
        <v>25029</v>
      </c>
      <c r="G634">
        <v>19344</v>
      </c>
      <c r="H634">
        <f>'Total Traffic'!D632-'Page Sessions'!D634</f>
        <v>68235</v>
      </c>
      <c r="I634" s="2">
        <f t="shared" si="631"/>
        <v>0.30884677406479011</v>
      </c>
      <c r="J634" s="2">
        <f t="shared" si="643"/>
        <v>-1.30151868885231E-3</v>
      </c>
      <c r="K634" s="2">
        <f>D634/'Total Traffic'!D632</f>
        <v>0.47859675398111073</v>
      </c>
      <c r="L634" s="5">
        <f t="shared" si="632"/>
        <v>0.57219037887375668</v>
      </c>
      <c r="M634" s="5">
        <f t="shared" si="633"/>
        <v>0.69839276745354095</v>
      </c>
      <c r="N634" s="5">
        <f t="shared" si="634"/>
        <v>0.7728634783650965</v>
      </c>
      <c r="O634" s="5">
        <f t="shared" si="644"/>
        <v>-4.0113601407238852E-2</v>
      </c>
      <c r="P634" s="2">
        <f t="shared" ref="P634:R634" si="691">(L634/L627)-1</f>
        <v>-2.7051379356734073E-2</v>
      </c>
      <c r="Q634" s="2">
        <f t="shared" si="691"/>
        <v>3.5913066809976302E-2</v>
      </c>
      <c r="R634" s="2">
        <f t="shared" si="691"/>
        <v>-9.1197515801664242E-3</v>
      </c>
      <c r="S634" s="3"/>
    </row>
    <row r="635" spans="3:19" x14ac:dyDescent="0.25">
      <c r="C635" s="1">
        <f t="shared" si="636"/>
        <v>44097</v>
      </c>
      <c r="D635">
        <v>64140</v>
      </c>
      <c r="E635">
        <v>38035</v>
      </c>
      <c r="F635">
        <v>25608</v>
      </c>
      <c r="G635">
        <v>20250</v>
      </c>
      <c r="H635">
        <f>'Total Traffic'!D633-'Page Sessions'!D635</f>
        <v>66016</v>
      </c>
      <c r="I635" s="2">
        <f t="shared" si="631"/>
        <v>0.31571562207670723</v>
      </c>
      <c r="J635" s="2">
        <f t="shared" si="643"/>
        <v>-9.1575363997854486E-3</v>
      </c>
      <c r="K635" s="2">
        <f>D635/'Total Traffic'!D633</f>
        <v>0.49279326346845326</v>
      </c>
      <c r="L635" s="5">
        <f t="shared" si="632"/>
        <v>0.59299968818210169</v>
      </c>
      <c r="M635" s="5">
        <f t="shared" si="633"/>
        <v>0.67327461548573686</v>
      </c>
      <c r="N635" s="5">
        <f t="shared" si="634"/>
        <v>0.79076850984067482</v>
      </c>
      <c r="O635" s="5">
        <f t="shared" si="644"/>
        <v>4.7843984225415914E-2</v>
      </c>
      <c r="P635" s="2">
        <f t="shared" ref="P635:R635" si="692">(L635/L628)-1</f>
        <v>3.2409463366331881E-2</v>
      </c>
      <c r="Q635" s="2">
        <f t="shared" si="692"/>
        <v>-3.6242280346063471E-2</v>
      </c>
      <c r="R635" s="2">
        <f t="shared" si="692"/>
        <v>-4.1710125320486569E-3</v>
      </c>
      <c r="S635" s="3"/>
    </row>
    <row r="636" spans="3:19" x14ac:dyDescent="0.25">
      <c r="C636" s="1">
        <f t="shared" si="636"/>
        <v>44098</v>
      </c>
      <c r="D636">
        <v>63775</v>
      </c>
      <c r="E636">
        <v>37448</v>
      </c>
      <c r="F636">
        <v>25603</v>
      </c>
      <c r="G636">
        <v>19988</v>
      </c>
      <c r="H636">
        <f>'Total Traffic'!D634-'Page Sessions'!D636</f>
        <v>67047</v>
      </c>
      <c r="I636" s="2">
        <f t="shared" si="631"/>
        <v>0.31341434731477852</v>
      </c>
      <c r="J636" s="2">
        <f t="shared" si="643"/>
        <v>1.2849459790537976E-2</v>
      </c>
      <c r="K636" s="2">
        <f>D636/'Total Traffic'!D634</f>
        <v>0.48749445811866504</v>
      </c>
      <c r="L636" s="5">
        <f t="shared" si="632"/>
        <v>0.58718933751470015</v>
      </c>
      <c r="M636" s="5">
        <f t="shared" si="633"/>
        <v>0.6836947233497116</v>
      </c>
      <c r="N636" s="5">
        <f t="shared" si="634"/>
        <v>0.78068976291840797</v>
      </c>
      <c r="O636" s="5">
        <f t="shared" si="644"/>
        <v>-2.5011083762669917E-2</v>
      </c>
      <c r="P636" s="2">
        <f t="shared" ref="P636:R636" si="693">(L636/L629)-1</f>
        <v>1.6258151694733325E-2</v>
      </c>
      <c r="Q636" s="2">
        <f t="shared" si="693"/>
        <v>4.4184039939880737E-3</v>
      </c>
      <c r="R636" s="2">
        <f t="shared" si="693"/>
        <v>-7.7383722100207164E-3</v>
      </c>
      <c r="S636" s="3"/>
    </row>
    <row r="637" spans="3:19" x14ac:dyDescent="0.25">
      <c r="C637" s="1">
        <f t="shared" si="636"/>
        <v>44099</v>
      </c>
      <c r="D637">
        <v>62487</v>
      </c>
      <c r="E637">
        <v>37248</v>
      </c>
      <c r="F637">
        <v>25418</v>
      </c>
      <c r="G637">
        <v>20326</v>
      </c>
      <c r="H637">
        <f>'Total Traffic'!D635-'Page Sessions'!D637</f>
        <v>67668</v>
      </c>
      <c r="I637" s="2">
        <f t="shared" si="631"/>
        <v>0.3252836590010722</v>
      </c>
      <c r="J637" s="2">
        <f t="shared" si="643"/>
        <v>8.144124247431983E-2</v>
      </c>
      <c r="K637" s="2">
        <f>D637/'Total Traffic'!D635</f>
        <v>0.48009680765241441</v>
      </c>
      <c r="L637" s="5">
        <f t="shared" si="632"/>
        <v>0.59609198713332379</v>
      </c>
      <c r="M637" s="5">
        <f t="shared" si="633"/>
        <v>0.68239905498281783</v>
      </c>
      <c r="N637" s="5">
        <f t="shared" si="634"/>
        <v>0.79966952553308679</v>
      </c>
      <c r="O637" s="5">
        <f t="shared" si="644"/>
        <v>-6.0059424012306462E-3</v>
      </c>
      <c r="P637" s="2">
        <f t="shared" ref="P637:R637" si="694">(L637/L630)-1</f>
        <v>4.085350870808413E-2</v>
      </c>
      <c r="Q637" s="2">
        <f t="shared" si="694"/>
        <v>3.5312806381651018E-3</v>
      </c>
      <c r="R637" s="2">
        <f t="shared" si="694"/>
        <v>3.5338593754724812E-2</v>
      </c>
      <c r="S637" s="3"/>
    </row>
    <row r="638" spans="3:19" x14ac:dyDescent="0.25">
      <c r="C638" s="1">
        <f t="shared" si="636"/>
        <v>44100</v>
      </c>
      <c r="D638">
        <v>62829</v>
      </c>
      <c r="E638">
        <v>36597</v>
      </c>
      <c r="F638">
        <v>25471</v>
      </c>
      <c r="G638">
        <v>19765</v>
      </c>
      <c r="H638">
        <f>'Total Traffic'!D636-'Page Sessions'!D638</f>
        <v>67876</v>
      </c>
      <c r="I638" s="2">
        <f t="shared" si="631"/>
        <v>0.31458402966782856</v>
      </c>
      <c r="J638" s="2">
        <f t="shared" si="643"/>
        <v>4.5373789346894178E-3</v>
      </c>
      <c r="K638" s="2">
        <f>D638/'Total Traffic'!D636</f>
        <v>0.48069316399525647</v>
      </c>
      <c r="L638" s="5">
        <f t="shared" si="632"/>
        <v>0.58248579477629758</v>
      </c>
      <c r="M638" s="5">
        <f t="shared" si="633"/>
        <v>0.69598600978222258</v>
      </c>
      <c r="N638" s="5">
        <f t="shared" si="634"/>
        <v>0.77598052687369945</v>
      </c>
      <c r="O638" s="5">
        <f t="shared" si="644"/>
        <v>9.2372982985009511E-3</v>
      </c>
      <c r="P638" s="2">
        <f t="shared" ref="P638:R638" si="695">(L638/L631)-1</f>
        <v>-5.1370011528134585E-3</v>
      </c>
      <c r="Q638" s="2">
        <f t="shared" si="695"/>
        <v>1.4269412521909386E-2</v>
      </c>
      <c r="R638" s="2">
        <f t="shared" si="695"/>
        <v>-4.4811353505421758E-3</v>
      </c>
      <c r="S638" s="3"/>
    </row>
    <row r="639" spans="3:19" x14ac:dyDescent="0.25">
      <c r="C639" s="1">
        <f t="shared" si="636"/>
        <v>44101</v>
      </c>
      <c r="D639">
        <v>64396</v>
      </c>
      <c r="E639">
        <v>36795</v>
      </c>
      <c r="F639">
        <v>25292</v>
      </c>
      <c r="G639">
        <v>20008</v>
      </c>
      <c r="H639">
        <f>'Total Traffic'!D637-'Page Sessions'!D639</f>
        <v>66173</v>
      </c>
      <c r="I639" s="2">
        <f t="shared" si="631"/>
        <v>0.31070252810733584</v>
      </c>
      <c r="J639" s="2">
        <f t="shared" si="643"/>
        <v>-2.985894993043503E-2</v>
      </c>
      <c r="K639" s="2">
        <f>D639/'Total Traffic'!D637</f>
        <v>0.49319516883793241</v>
      </c>
      <c r="L639" s="5">
        <f t="shared" si="632"/>
        <v>0.57138642151686436</v>
      </c>
      <c r="M639" s="5">
        <f t="shared" si="633"/>
        <v>0.68737600217420847</v>
      </c>
      <c r="N639" s="5">
        <f t="shared" si="634"/>
        <v>0.79108018345721964</v>
      </c>
      <c r="O639" s="5">
        <f t="shared" si="644"/>
        <v>2.2310814521966371E-3</v>
      </c>
      <c r="P639" s="2">
        <f t="shared" ref="P639:R639" si="696">(L639/L632)-1</f>
        <v>-3.6765372446181721E-2</v>
      </c>
      <c r="Q639" s="2">
        <f t="shared" si="696"/>
        <v>-9.38521018277505E-3</v>
      </c>
      <c r="R639" s="2">
        <f t="shared" si="696"/>
        <v>1.6712088031807015E-2</v>
      </c>
      <c r="S639" s="3"/>
    </row>
    <row r="640" spans="3:19" x14ac:dyDescent="0.25">
      <c r="C640" s="1">
        <f t="shared" si="636"/>
        <v>44102</v>
      </c>
      <c r="D640">
        <v>64234</v>
      </c>
      <c r="E640">
        <v>37853</v>
      </c>
      <c r="F640">
        <v>26008</v>
      </c>
      <c r="G640">
        <v>7193</v>
      </c>
      <c r="H640">
        <f>'Total Traffic'!D638-'Page Sessions'!D640</f>
        <v>66564</v>
      </c>
      <c r="I640" s="2">
        <f t="shared" si="631"/>
        <v>0.11198119376031385</v>
      </c>
      <c r="J640" s="2">
        <f t="shared" si="643"/>
        <v>-0.6598382833096692</v>
      </c>
      <c r="K640" s="2">
        <f>D640/'Total Traffic'!D638</f>
        <v>0.4910931359806725</v>
      </c>
      <c r="L640" s="5">
        <f t="shared" si="632"/>
        <v>0.58929850235077996</v>
      </c>
      <c r="M640" s="5">
        <f t="shared" si="633"/>
        <v>0.68707896335825425</v>
      </c>
      <c r="N640" s="5">
        <f t="shared" si="634"/>
        <v>0.27656874807751464</v>
      </c>
      <c r="O640" s="5">
        <f t="shared" si="644"/>
        <v>2.504146672535823E-2</v>
      </c>
      <c r="P640" s="2">
        <f t="shared" ref="P640:R640" si="697">(L640/L633)-1</f>
        <v>-1.7835829415366655E-2</v>
      </c>
      <c r="Q640" s="2">
        <f t="shared" si="697"/>
        <v>-9.3683979984633403E-3</v>
      </c>
      <c r="R640" s="2">
        <f t="shared" si="697"/>
        <v>-0.65038571494355435</v>
      </c>
      <c r="S640" s="3"/>
    </row>
    <row r="641" spans="3:19" x14ac:dyDescent="0.25">
      <c r="C641" s="1">
        <f t="shared" si="636"/>
        <v>44103</v>
      </c>
      <c r="D641">
        <v>64985</v>
      </c>
      <c r="E641">
        <v>37736</v>
      </c>
      <c r="F641">
        <v>25735</v>
      </c>
      <c r="G641">
        <v>19890</v>
      </c>
      <c r="H641">
        <f>'Total Traffic'!D639-'Page Sessions'!D641</f>
        <v>65325</v>
      </c>
      <c r="I641" s="2">
        <f t="shared" si="631"/>
        <v>0.30607063168423482</v>
      </c>
      <c r="J641" s="2">
        <f t="shared" si="643"/>
        <v>-8.9887368549069757E-3</v>
      </c>
      <c r="K641" s="2">
        <f>D641/'Total Traffic'!D639</f>
        <v>0.49869541861714373</v>
      </c>
      <c r="L641" s="5">
        <f t="shared" si="632"/>
        <v>0.58068785104254828</v>
      </c>
      <c r="M641" s="5">
        <f t="shared" si="633"/>
        <v>0.68197477210091162</v>
      </c>
      <c r="N641" s="5">
        <f t="shared" si="634"/>
        <v>0.77287740431319218</v>
      </c>
      <c r="O641" s="5">
        <f t="shared" si="644"/>
        <v>4.1994987364302627E-2</v>
      </c>
      <c r="P641" s="2">
        <f t="shared" ref="P641:R641" si="698">(L641/L634)-1</f>
        <v>1.4850777787486003E-2</v>
      </c>
      <c r="Q641" s="2">
        <f t="shared" si="698"/>
        <v>-2.3508255121959754E-2</v>
      </c>
      <c r="R641" s="2">
        <f t="shared" si="698"/>
        <v>1.801863910699808E-5</v>
      </c>
      <c r="S641" s="3"/>
    </row>
    <row r="642" spans="3:19" x14ac:dyDescent="0.25">
      <c r="C642" s="1">
        <f t="shared" si="636"/>
        <v>44104</v>
      </c>
      <c r="D642">
        <v>64268</v>
      </c>
      <c r="E642">
        <v>37686</v>
      </c>
      <c r="F642">
        <v>25577</v>
      </c>
      <c r="G642">
        <v>20129</v>
      </c>
      <c r="H642">
        <f>'Total Traffic'!D640-'Page Sessions'!D642</f>
        <v>66492</v>
      </c>
      <c r="I642" s="2">
        <f t="shared" si="631"/>
        <v>0.31320408290284435</v>
      </c>
      <c r="J642" s="2">
        <f t="shared" si="643"/>
        <v>-7.9550677832871397E-3</v>
      </c>
      <c r="K642" s="2">
        <f>D642/'Total Traffic'!D640</f>
        <v>0.49149587029672681</v>
      </c>
      <c r="L642" s="5">
        <f t="shared" si="632"/>
        <v>0.58638824920644805</v>
      </c>
      <c r="M642" s="5">
        <f t="shared" si="633"/>
        <v>0.67868704558722071</v>
      </c>
      <c r="N642" s="5">
        <f t="shared" si="634"/>
        <v>0.78699612933494933</v>
      </c>
      <c r="O642" s="5">
        <f t="shared" si="644"/>
        <v>-2.6327331721114344E-3</v>
      </c>
      <c r="P642" s="2">
        <f t="shared" ref="P642:R642" si="699">(L642/L635)-1</f>
        <v>-1.1149144101444075E-2</v>
      </c>
      <c r="Q642" s="2">
        <f t="shared" si="699"/>
        <v>8.0389635625561784E-3</v>
      </c>
      <c r="R642" s="2">
        <f t="shared" si="699"/>
        <v>-4.7705244439811834E-3</v>
      </c>
      <c r="S642" s="3"/>
    </row>
    <row r="643" spans="3:19" x14ac:dyDescent="0.25">
      <c r="C643" s="1">
        <f t="shared" si="636"/>
        <v>44105</v>
      </c>
      <c r="D643">
        <v>63315</v>
      </c>
      <c r="E643">
        <v>36608</v>
      </c>
      <c r="F643">
        <v>24721</v>
      </c>
      <c r="G643">
        <v>19497</v>
      </c>
      <c r="H643">
        <f>'Total Traffic'!D641-'Page Sessions'!D643</f>
        <v>67530</v>
      </c>
      <c r="I643" s="2">
        <f t="shared" si="631"/>
        <v>0.30793650793650795</v>
      </c>
      <c r="J643" s="2">
        <f t="shared" si="643"/>
        <v>-1.7477947085711709E-2</v>
      </c>
      <c r="K643" s="2">
        <f>D643/'Total Traffic'!D641</f>
        <v>0.48389315602430355</v>
      </c>
      <c r="L643" s="5">
        <f t="shared" si="632"/>
        <v>0.57818842296454231</v>
      </c>
      <c r="M643" s="5">
        <f t="shared" si="633"/>
        <v>0.67528955419580416</v>
      </c>
      <c r="N643" s="5">
        <f t="shared" si="634"/>
        <v>0.78868168763399538</v>
      </c>
      <c r="O643" s="5">
        <f t="shared" si="644"/>
        <v>-7.3873703267511859E-3</v>
      </c>
      <c r="P643" s="2">
        <f t="shared" ref="P643:R643" si="700">(L643/L636)-1</f>
        <v>-1.5328811296633105E-2</v>
      </c>
      <c r="Q643" s="2">
        <f t="shared" si="700"/>
        <v>-1.2293745829610847E-2</v>
      </c>
      <c r="R643" s="2">
        <f t="shared" si="700"/>
        <v>1.0237004627435597E-2</v>
      </c>
      <c r="S643" s="3"/>
    </row>
    <row r="644" spans="3:19" x14ac:dyDescent="0.25">
      <c r="C644" s="1">
        <f t="shared" si="636"/>
        <v>44106</v>
      </c>
      <c r="D644">
        <v>64685</v>
      </c>
      <c r="E644">
        <v>37155</v>
      </c>
      <c r="F644">
        <v>25930</v>
      </c>
      <c r="G644">
        <v>20310</v>
      </c>
      <c r="H644">
        <f>'Total Traffic'!D642-'Page Sessions'!D644</f>
        <v>65730</v>
      </c>
      <c r="I644" s="2">
        <f t="shared" si="631"/>
        <v>0.31398314910721187</v>
      </c>
      <c r="J644" s="2">
        <f t="shared" si="643"/>
        <v>-3.4740478290743448E-2</v>
      </c>
      <c r="K644" s="2">
        <f>D644/'Total Traffic'!D642</f>
        <v>0.49599355902311848</v>
      </c>
      <c r="L644" s="5">
        <f t="shared" si="632"/>
        <v>0.57439901058978127</v>
      </c>
      <c r="M644" s="5">
        <f t="shared" si="633"/>
        <v>0.69788722917507739</v>
      </c>
      <c r="N644" s="5">
        <f t="shared" si="634"/>
        <v>0.78326263015811803</v>
      </c>
      <c r="O644" s="5">
        <f t="shared" si="644"/>
        <v>3.3111553997695387E-2</v>
      </c>
      <c r="P644" s="2">
        <f t="shared" ref="P644:R644" si="701">(L644/L637)-1</f>
        <v>-3.6391994879626854E-2</v>
      </c>
      <c r="Q644" s="2">
        <f t="shared" si="701"/>
        <v>2.2696652463344291E-2</v>
      </c>
      <c r="R644" s="2">
        <f t="shared" si="701"/>
        <v>-2.0517094688623283E-2</v>
      </c>
      <c r="S644" s="3"/>
    </row>
    <row r="645" spans="3:19" x14ac:dyDescent="0.25">
      <c r="C645" s="1">
        <f t="shared" si="636"/>
        <v>44107</v>
      </c>
      <c r="D645">
        <v>62541</v>
      </c>
      <c r="E645">
        <v>37499</v>
      </c>
      <c r="F645">
        <v>25683</v>
      </c>
      <c r="G645">
        <v>19847</v>
      </c>
      <c r="H645">
        <f>'Total Traffic'!D643-'Page Sessions'!D645</f>
        <v>68054</v>
      </c>
      <c r="I645" s="2">
        <f t="shared" ref="I645:I708" si="702">G645/D645</f>
        <v>0.31734382245247117</v>
      </c>
      <c r="J645" s="2">
        <f t="shared" si="643"/>
        <v>8.7728318171671482E-3</v>
      </c>
      <c r="K645" s="2">
        <f>D645/'Total Traffic'!D643</f>
        <v>0.47889276005972664</v>
      </c>
      <c r="L645" s="5">
        <f t="shared" ref="L645:L708" si="703">E645/D645</f>
        <v>0.59959066852144993</v>
      </c>
      <c r="M645" s="5">
        <f t="shared" ref="M645:M708" si="704">F645/E645</f>
        <v>0.68489826395370546</v>
      </c>
      <c r="N645" s="5">
        <f t="shared" ref="N645:N708" si="705">G645/F645</f>
        <v>0.77276797881867387</v>
      </c>
      <c r="O645" s="5">
        <f t="shared" si="644"/>
        <v>-3.745432784119207E-3</v>
      </c>
      <c r="P645" s="2">
        <f t="shared" ref="P645:R645" si="706">(L645/L638)-1</f>
        <v>2.9365306241882605E-2</v>
      </c>
      <c r="Q645" s="2">
        <f t="shared" si="706"/>
        <v>-1.5930989520876349E-2</v>
      </c>
      <c r="R645" s="2">
        <f t="shared" si="706"/>
        <v>-4.1399854039745332E-3</v>
      </c>
      <c r="S645" s="3"/>
    </row>
    <row r="646" spans="3:19" x14ac:dyDescent="0.25">
      <c r="C646" s="1">
        <f t="shared" ref="C646:C709" si="707">C645+1</f>
        <v>44108</v>
      </c>
      <c r="D646">
        <v>63559</v>
      </c>
      <c r="E646">
        <v>36444</v>
      </c>
      <c r="F646">
        <v>25135</v>
      </c>
      <c r="G646">
        <v>19529</v>
      </c>
      <c r="H646">
        <f>'Total Traffic'!D644-'Page Sessions'!D646</f>
        <v>66712</v>
      </c>
      <c r="I646" s="2">
        <f t="shared" si="702"/>
        <v>0.30725782343963876</v>
      </c>
      <c r="J646" s="2">
        <f t="shared" si="643"/>
        <v>-1.1086825358907482E-2</v>
      </c>
      <c r="K646" s="2">
        <f>D646/'Total Traffic'!D644</f>
        <v>0.48789830430410452</v>
      </c>
      <c r="L646" s="5">
        <f t="shared" si="703"/>
        <v>0.57338850516842621</v>
      </c>
      <c r="M646" s="5">
        <f t="shared" si="704"/>
        <v>0.68968828888157174</v>
      </c>
      <c r="N646" s="5">
        <f t="shared" si="705"/>
        <v>0.77696439228167891</v>
      </c>
      <c r="O646" s="5">
        <f t="shared" si="644"/>
        <v>-1.0739895417687051E-2</v>
      </c>
      <c r="P646" s="2">
        <f t="shared" ref="P646:R646" si="708">(L646/L639)-1</f>
        <v>3.503904846473116E-3</v>
      </c>
      <c r="Q646" s="2">
        <f t="shared" si="708"/>
        <v>3.3639328403223256E-3</v>
      </c>
      <c r="R646" s="2">
        <f t="shared" si="708"/>
        <v>-1.7843692043771342E-2</v>
      </c>
      <c r="S646" s="3"/>
    </row>
    <row r="647" spans="3:19" x14ac:dyDescent="0.25">
      <c r="C647" s="1">
        <f t="shared" si="707"/>
        <v>44109</v>
      </c>
      <c r="D647">
        <v>64486</v>
      </c>
      <c r="E647">
        <v>37240</v>
      </c>
      <c r="F647">
        <v>25673</v>
      </c>
      <c r="G647">
        <v>20083</v>
      </c>
      <c r="H647">
        <f>'Total Traffic'!D645-'Page Sessions'!D647</f>
        <v>65737</v>
      </c>
      <c r="I647" s="2">
        <f t="shared" si="702"/>
        <v>0.31143193871538011</v>
      </c>
      <c r="J647" s="2">
        <f t="shared" si="643"/>
        <v>1.7811092939585329</v>
      </c>
      <c r="K647" s="2">
        <f>D647/'Total Traffic'!D645</f>
        <v>0.49519670104359442</v>
      </c>
      <c r="L647" s="5">
        <f t="shared" si="703"/>
        <v>0.57748968768414854</v>
      </c>
      <c r="M647" s="5">
        <f t="shared" si="704"/>
        <v>0.68939312567132116</v>
      </c>
      <c r="N647" s="5">
        <f t="shared" si="705"/>
        <v>0.78226151988470383</v>
      </c>
      <c r="O647" s="5">
        <f t="shared" si="644"/>
        <v>8.3559813042946018E-3</v>
      </c>
      <c r="P647" s="2">
        <f t="shared" ref="P647:R647" si="709">(L647/L640)-1</f>
        <v>-2.0038765785972079E-2</v>
      </c>
      <c r="Q647" s="2">
        <f t="shared" si="709"/>
        <v>3.3681169654153909E-3</v>
      </c>
      <c r="R647" s="2">
        <f t="shared" si="709"/>
        <v>1.8284523299265083</v>
      </c>
      <c r="S647" s="3"/>
    </row>
    <row r="648" spans="3:19" x14ac:dyDescent="0.25">
      <c r="C648" s="1">
        <f t="shared" si="707"/>
        <v>44110</v>
      </c>
      <c r="D648">
        <v>62334</v>
      </c>
      <c r="E648">
        <v>36739</v>
      </c>
      <c r="F648">
        <v>24673</v>
      </c>
      <c r="G648">
        <v>19365</v>
      </c>
      <c r="H648">
        <f>'Total Traffic'!D646-'Page Sessions'!D648</f>
        <v>68210</v>
      </c>
      <c r="I648" s="2">
        <f t="shared" si="702"/>
        <v>0.31066512657618633</v>
      </c>
      <c r="J648" s="2">
        <f t="shared" si="643"/>
        <v>1.5011224261109568E-2</v>
      </c>
      <c r="K648" s="2">
        <f>D648/'Total Traffic'!D646</f>
        <v>0.47749417820811374</v>
      </c>
      <c r="L648" s="5">
        <f t="shared" si="703"/>
        <v>0.58938941829499147</v>
      </c>
      <c r="M648" s="5">
        <f t="shared" si="704"/>
        <v>0.67157516535561668</v>
      </c>
      <c r="N648" s="5">
        <f t="shared" si="705"/>
        <v>0.78486604790661862</v>
      </c>
      <c r="O648" s="5">
        <f t="shared" si="644"/>
        <v>-4.2513405211982769E-2</v>
      </c>
      <c r="P648" s="2">
        <f t="shared" ref="P648:R648" si="710">(L648/L641)-1</f>
        <v>1.4984930779627481E-2</v>
      </c>
      <c r="Q648" s="2">
        <f t="shared" si="710"/>
        <v>-1.5249254328364104E-2</v>
      </c>
      <c r="R648" s="2">
        <f t="shared" si="710"/>
        <v>1.5511701502103126E-2</v>
      </c>
      <c r="S648" s="3"/>
    </row>
    <row r="649" spans="3:19" x14ac:dyDescent="0.25">
      <c r="C649" s="1">
        <f t="shared" si="707"/>
        <v>44111</v>
      </c>
      <c r="D649">
        <v>63556</v>
      </c>
      <c r="E649">
        <v>36366</v>
      </c>
      <c r="F649">
        <v>25012</v>
      </c>
      <c r="G649">
        <v>19481</v>
      </c>
      <c r="H649">
        <f>'Total Traffic'!D647-'Page Sessions'!D649</f>
        <v>67031</v>
      </c>
      <c r="I649" s="2">
        <f t="shared" si="702"/>
        <v>0.30651708729309585</v>
      </c>
      <c r="J649" s="2">
        <f t="shared" si="643"/>
        <v>-2.1350282371072393E-2</v>
      </c>
      <c r="K649" s="2">
        <f>D649/'Total Traffic'!D647</f>
        <v>0.4866946939588167</v>
      </c>
      <c r="L649" s="5">
        <f t="shared" si="703"/>
        <v>0.5721883063754799</v>
      </c>
      <c r="M649" s="5">
        <f t="shared" si="704"/>
        <v>0.68778529395589283</v>
      </c>
      <c r="N649" s="5">
        <f t="shared" si="705"/>
        <v>0.77886614425075962</v>
      </c>
      <c r="O649" s="5">
        <f t="shared" si="644"/>
        <v>-9.7684978207681628E-3</v>
      </c>
      <c r="P649" s="2">
        <f t="shared" ref="P649:R649" si="711">(L649/L642)-1</f>
        <v>-2.4215940292433791E-2</v>
      </c>
      <c r="Q649" s="2">
        <f t="shared" si="711"/>
        <v>1.3405660868036851E-2</v>
      </c>
      <c r="R649" s="2">
        <f t="shared" si="711"/>
        <v>-1.0330400342705603E-2</v>
      </c>
      <c r="S649" s="3"/>
    </row>
    <row r="650" spans="3:19" x14ac:dyDescent="0.25">
      <c r="C650" s="1">
        <f t="shared" si="707"/>
        <v>44112</v>
      </c>
      <c r="D650">
        <v>64472</v>
      </c>
      <c r="E650">
        <v>37013</v>
      </c>
      <c r="F650">
        <v>24880</v>
      </c>
      <c r="G650">
        <v>19677</v>
      </c>
      <c r="H650">
        <f>'Total Traffic'!D648-'Page Sessions'!D650</f>
        <v>65933</v>
      </c>
      <c r="I650" s="2">
        <f t="shared" si="702"/>
        <v>0.30520225834470777</v>
      </c>
      <c r="J650" s="2">
        <f t="shared" si="643"/>
        <v>-8.8792641383201865E-3</v>
      </c>
      <c r="K650" s="2">
        <f>D650/'Total Traffic'!D648</f>
        <v>0.49439822092711166</v>
      </c>
      <c r="L650" s="5">
        <f t="shared" si="703"/>
        <v>0.57409418041940685</v>
      </c>
      <c r="M650" s="5">
        <f t="shared" si="704"/>
        <v>0.67219625536973493</v>
      </c>
      <c r="N650" s="5">
        <f t="shared" si="705"/>
        <v>0.79087620578778139</v>
      </c>
      <c r="O650" s="5">
        <f t="shared" si="644"/>
        <v>2.1709471960956073E-2</v>
      </c>
      <c r="P650" s="2">
        <f t="shared" ref="P650:R650" si="712">(L650/L643)-1</f>
        <v>-7.0811562157248042E-3</v>
      </c>
      <c r="Q650" s="2">
        <f t="shared" si="712"/>
        <v>-4.5806999484140354E-3</v>
      </c>
      <c r="R650" s="2">
        <f t="shared" si="712"/>
        <v>2.7825144011768277E-3</v>
      </c>
      <c r="S650" s="3"/>
    </row>
    <row r="651" spans="3:19" x14ac:dyDescent="0.25">
      <c r="C651" s="1">
        <f t="shared" si="707"/>
        <v>44113</v>
      </c>
      <c r="D651">
        <v>63709</v>
      </c>
      <c r="E651">
        <v>37078</v>
      </c>
      <c r="F651">
        <v>24853</v>
      </c>
      <c r="G651">
        <v>19201</v>
      </c>
      <c r="H651">
        <f>'Total Traffic'!D649-'Page Sessions'!D651</f>
        <v>67165</v>
      </c>
      <c r="I651" s="2">
        <f t="shared" si="702"/>
        <v>0.30138598942064698</v>
      </c>
      <c r="J651" s="2">
        <f t="shared" si="643"/>
        <v>-4.0120496027840957E-2</v>
      </c>
      <c r="K651" s="2">
        <f>D651/'Total Traffic'!D649</f>
        <v>0.48679646071794247</v>
      </c>
      <c r="L651" s="5">
        <f t="shared" si="703"/>
        <v>0.58198998571630378</v>
      </c>
      <c r="M651" s="5">
        <f t="shared" si="704"/>
        <v>0.67028965963644205</v>
      </c>
      <c r="N651" s="5">
        <f t="shared" si="705"/>
        <v>0.77258278678630343</v>
      </c>
      <c r="O651" s="5">
        <f t="shared" si="644"/>
        <v>-1.8542777699150137E-2</v>
      </c>
      <c r="P651" s="2">
        <f t="shared" ref="P651:R651" si="713">(L651/L644)-1</f>
        <v>1.3215508708359858E-2</v>
      </c>
      <c r="Q651" s="2">
        <f t="shared" si="713"/>
        <v>-3.9544454153798592E-2</v>
      </c>
      <c r="R651" s="2">
        <f t="shared" si="713"/>
        <v>-1.3635073295477751E-2</v>
      </c>
      <c r="S651" s="3"/>
    </row>
    <row r="652" spans="3:19" x14ac:dyDescent="0.25">
      <c r="C652" s="1">
        <f t="shared" si="707"/>
        <v>44114</v>
      </c>
      <c r="D652">
        <v>62751</v>
      </c>
      <c r="E652">
        <v>37543</v>
      </c>
      <c r="F652">
        <v>25191</v>
      </c>
      <c r="G652">
        <v>19764</v>
      </c>
      <c r="H652">
        <f>'Total Traffic'!D650-'Page Sessions'!D652</f>
        <v>67411</v>
      </c>
      <c r="I652" s="2">
        <f t="shared" si="702"/>
        <v>0.31495912415738392</v>
      </c>
      <c r="J652" s="2">
        <f t="shared" ref="J652:J715" si="714">(I652/I645)-1</f>
        <v>-7.5145571659722687E-3</v>
      </c>
      <c r="K652" s="2">
        <f>D652/'Total Traffic'!D650</f>
        <v>0.48209923019007084</v>
      </c>
      <c r="L652" s="5">
        <f t="shared" si="703"/>
        <v>0.59828528629025834</v>
      </c>
      <c r="M652" s="5">
        <f t="shared" si="704"/>
        <v>0.67099059744825928</v>
      </c>
      <c r="N652" s="5">
        <f t="shared" si="705"/>
        <v>0.78456591639871387</v>
      </c>
      <c r="O652" s="5">
        <f t="shared" ref="O652:O715" si="715">(K652/K645)-1</f>
        <v>6.6955911589565709E-3</v>
      </c>
      <c r="P652" s="2">
        <f t="shared" ref="P652:R652" si="716">(L652/L645)-1</f>
        <v>-2.1771223264874795E-3</v>
      </c>
      <c r="Q652" s="2">
        <f t="shared" si="716"/>
        <v>-2.0306178650770002E-2</v>
      </c>
      <c r="R652" s="2">
        <f t="shared" si="716"/>
        <v>1.5267114972951523E-2</v>
      </c>
      <c r="S652" s="3"/>
    </row>
    <row r="653" spans="3:19" x14ac:dyDescent="0.25">
      <c r="C653" s="1">
        <f t="shared" si="707"/>
        <v>44115</v>
      </c>
      <c r="D653">
        <v>61584</v>
      </c>
      <c r="E653">
        <v>35558</v>
      </c>
      <c r="F653">
        <v>24801</v>
      </c>
      <c r="G653">
        <v>19158</v>
      </c>
      <c r="H653">
        <f>'Total Traffic'!D651-'Page Sessions'!D653</f>
        <v>69418</v>
      </c>
      <c r="I653" s="2">
        <f t="shared" si="702"/>
        <v>0.31108729540140295</v>
      </c>
      <c r="J653" s="2">
        <f t="shared" si="714"/>
        <v>1.2463383092722102E-2</v>
      </c>
      <c r="K653" s="2">
        <f>D653/'Total Traffic'!D651</f>
        <v>0.47009969313445599</v>
      </c>
      <c r="L653" s="5">
        <f t="shared" si="703"/>
        <v>0.57739023122889066</v>
      </c>
      <c r="M653" s="5">
        <f t="shared" si="704"/>
        <v>0.69748017323808986</v>
      </c>
      <c r="N653" s="5">
        <f t="shared" si="705"/>
        <v>0.77246885206241689</v>
      </c>
      <c r="O653" s="5">
        <f t="shared" si="715"/>
        <v>-3.6480166076893639E-2</v>
      </c>
      <c r="P653" s="2">
        <f t="shared" ref="P653:R653" si="717">(L653/L646)-1</f>
        <v>6.9790831598359748E-3</v>
      </c>
      <c r="Q653" s="2">
        <f t="shared" si="717"/>
        <v>1.1297689814559142E-2</v>
      </c>
      <c r="R653" s="2">
        <f t="shared" si="717"/>
        <v>-5.7860312054457408E-3</v>
      </c>
      <c r="S653" s="3"/>
    </row>
    <row r="654" spans="3:19" x14ac:dyDescent="0.25">
      <c r="C654" s="1">
        <f t="shared" si="707"/>
        <v>44116</v>
      </c>
      <c r="D654">
        <v>64565</v>
      </c>
      <c r="E654">
        <v>37996</v>
      </c>
      <c r="F654">
        <v>26559</v>
      </c>
      <c r="G654">
        <v>20617</v>
      </c>
      <c r="H654">
        <f>'Total Traffic'!D652-'Page Sessions'!D654</f>
        <v>65502</v>
      </c>
      <c r="I654" s="2">
        <f t="shared" si="702"/>
        <v>0.31932161387748781</v>
      </c>
      <c r="J654" s="2">
        <f t="shared" si="714"/>
        <v>2.5333545411725167E-2</v>
      </c>
      <c r="K654" s="2">
        <f>D654/'Total Traffic'!D652</f>
        <v>0.49639801025625252</v>
      </c>
      <c r="L654" s="5">
        <f t="shared" si="703"/>
        <v>0.58849221714551225</v>
      </c>
      <c r="M654" s="5">
        <f t="shared" si="704"/>
        <v>0.69899463101379089</v>
      </c>
      <c r="N654" s="5">
        <f t="shared" si="705"/>
        <v>0.77627169697654275</v>
      </c>
      <c r="O654" s="5">
        <f t="shared" si="715"/>
        <v>2.4259232949783716E-3</v>
      </c>
      <c r="P654" s="2">
        <f t="shared" ref="P654:R654" si="718">(L654/L647)-1</f>
        <v>1.9052339281565578E-2</v>
      </c>
      <c r="Q654" s="2">
        <f t="shared" si="718"/>
        <v>1.3927474738190782E-2</v>
      </c>
      <c r="R654" s="2">
        <f t="shared" si="718"/>
        <v>-7.6570593796354558E-3</v>
      </c>
      <c r="S654" s="3"/>
    </row>
    <row r="655" spans="3:19" x14ac:dyDescent="0.25">
      <c r="C655" s="1">
        <f t="shared" si="707"/>
        <v>44117</v>
      </c>
      <c r="D655">
        <v>63978</v>
      </c>
      <c r="E655">
        <v>36768</v>
      </c>
      <c r="F655">
        <v>25513</v>
      </c>
      <c r="G655">
        <v>20078</v>
      </c>
      <c r="H655">
        <f>'Total Traffic'!D653-'Page Sessions'!D655</f>
        <v>66884</v>
      </c>
      <c r="I655" s="2">
        <f t="shared" si="702"/>
        <v>0.31382662790334176</v>
      </c>
      <c r="J655" s="2">
        <f t="shared" si="714"/>
        <v>1.0176556866868358E-2</v>
      </c>
      <c r="K655" s="2">
        <f>D655/'Total Traffic'!D653</f>
        <v>0.48889670034081706</v>
      </c>
      <c r="L655" s="5">
        <f t="shared" si="703"/>
        <v>0.57469755228359753</v>
      </c>
      <c r="M655" s="5">
        <f t="shared" si="704"/>
        <v>0.69389142732811138</v>
      </c>
      <c r="N655" s="5">
        <f t="shared" si="705"/>
        <v>0.7869713479402658</v>
      </c>
      <c r="O655" s="5">
        <f t="shared" si="715"/>
        <v>2.3879918652607302E-2</v>
      </c>
      <c r="P655" s="2">
        <f t="shared" ref="P655:R655" si="719">(L655/L648)-1</f>
        <v>-2.4927264649397873E-2</v>
      </c>
      <c r="Q655" s="2">
        <f t="shared" si="719"/>
        <v>3.322973082347036E-2</v>
      </c>
      <c r="R655" s="2">
        <f t="shared" si="719"/>
        <v>2.682368589216555E-3</v>
      </c>
      <c r="S655" s="3"/>
    </row>
    <row r="656" spans="3:19" x14ac:dyDescent="0.25">
      <c r="C656" s="1">
        <f t="shared" si="707"/>
        <v>44118</v>
      </c>
      <c r="D656">
        <v>62543</v>
      </c>
      <c r="E656">
        <v>37131</v>
      </c>
      <c r="F656">
        <v>25304</v>
      </c>
      <c r="G656">
        <v>19952</v>
      </c>
      <c r="H656">
        <f>'Total Traffic'!D654-'Page Sessions'!D656</f>
        <v>67647</v>
      </c>
      <c r="I656" s="2">
        <f t="shared" si="702"/>
        <v>0.31901251938666197</v>
      </c>
      <c r="J656" s="2">
        <f t="shared" si="714"/>
        <v>4.0765858125285659E-2</v>
      </c>
      <c r="K656" s="2">
        <f>D656/'Total Traffic'!D654</f>
        <v>0.48039788002150702</v>
      </c>
      <c r="L656" s="5">
        <f t="shared" si="703"/>
        <v>0.59368754297043635</v>
      </c>
      <c r="M656" s="5">
        <f t="shared" si="704"/>
        <v>0.6814790875548733</v>
      </c>
      <c r="N656" s="5">
        <f t="shared" si="705"/>
        <v>0.78849193803351247</v>
      </c>
      <c r="O656" s="5">
        <f t="shared" si="715"/>
        <v>-1.2937913676623114E-2</v>
      </c>
      <c r="P656" s="2">
        <f t="shared" ref="P656:R656" si="720">(L656/L649)-1</f>
        <v>3.7573708437250497E-2</v>
      </c>
      <c r="Q656" s="2">
        <f t="shared" si="720"/>
        <v>-9.1688590268461656E-3</v>
      </c>
      <c r="R656" s="2">
        <f t="shared" si="720"/>
        <v>1.2358726661578778E-2</v>
      </c>
      <c r="S656" s="3"/>
    </row>
    <row r="657" spans="3:19" x14ac:dyDescent="0.25">
      <c r="C657" s="1">
        <f t="shared" si="707"/>
        <v>44119</v>
      </c>
      <c r="D657">
        <v>62415</v>
      </c>
      <c r="E657">
        <v>36924</v>
      </c>
      <c r="F657">
        <v>25558</v>
      </c>
      <c r="G657">
        <v>20172</v>
      </c>
      <c r="H657">
        <f>'Total Traffic'!D655-'Page Sessions'!D657</f>
        <v>68052</v>
      </c>
      <c r="I657" s="2">
        <f t="shared" si="702"/>
        <v>0.32319154049507332</v>
      </c>
      <c r="J657" s="2">
        <f t="shared" si="714"/>
        <v>5.8942165919518619E-2</v>
      </c>
      <c r="K657" s="2">
        <f>D657/'Total Traffic'!D655</f>
        <v>0.47839683598151256</v>
      </c>
      <c r="L657" s="5">
        <f t="shared" si="703"/>
        <v>0.59158856044220143</v>
      </c>
      <c r="M657" s="5">
        <f t="shared" si="704"/>
        <v>0.69217852887011155</v>
      </c>
      <c r="N657" s="5">
        <f t="shared" si="705"/>
        <v>0.789263635652242</v>
      </c>
      <c r="O657" s="5">
        <f t="shared" si="715"/>
        <v>-3.2365377277435936E-2</v>
      </c>
      <c r="P657" s="2">
        <f t="shared" ref="P657:R657" si="721">(L657/L650)-1</f>
        <v>3.0473014044514413E-2</v>
      </c>
      <c r="Q657" s="2">
        <f t="shared" si="721"/>
        <v>2.9726844415974174E-2</v>
      </c>
      <c r="R657" s="2">
        <f t="shared" si="721"/>
        <v>-2.0389665585313077E-3</v>
      </c>
      <c r="S657" s="3"/>
    </row>
    <row r="658" spans="3:19" x14ac:dyDescent="0.25">
      <c r="C658" s="1">
        <f t="shared" si="707"/>
        <v>44120</v>
      </c>
      <c r="D658">
        <v>61860</v>
      </c>
      <c r="E658">
        <v>36800</v>
      </c>
      <c r="F658">
        <v>25263</v>
      </c>
      <c r="G658">
        <v>20038</v>
      </c>
      <c r="H658">
        <f>'Total Traffic'!D656-'Page Sessions'!D658</f>
        <v>68236</v>
      </c>
      <c r="I658" s="2">
        <f t="shared" si="702"/>
        <v>0.32392499191723245</v>
      </c>
      <c r="J658" s="2">
        <f t="shared" si="714"/>
        <v>7.47845065389805E-2</v>
      </c>
      <c r="K658" s="2">
        <f>D658/'Total Traffic'!D656</f>
        <v>0.47549501906284591</v>
      </c>
      <c r="L658" s="5">
        <f t="shared" si="703"/>
        <v>0.5948916909149693</v>
      </c>
      <c r="M658" s="5">
        <f t="shared" si="704"/>
        <v>0.68649456521739127</v>
      </c>
      <c r="N658" s="5">
        <f t="shared" si="705"/>
        <v>0.79317579068202515</v>
      </c>
      <c r="O658" s="5">
        <f t="shared" si="715"/>
        <v>-2.3215948691222676E-2</v>
      </c>
      <c r="P658" s="2">
        <f t="shared" ref="P658:R658" si="722">(L658/L651)-1</f>
        <v>2.2168259790220191E-2</v>
      </c>
      <c r="Q658" s="2">
        <f t="shared" si="722"/>
        <v>2.4175974294066593E-2</v>
      </c>
      <c r="R658" s="2">
        <f t="shared" si="722"/>
        <v>2.6654753701389033E-2</v>
      </c>
      <c r="S658" s="3"/>
    </row>
    <row r="659" spans="3:19" x14ac:dyDescent="0.25">
      <c r="C659" s="1">
        <f t="shared" si="707"/>
        <v>44121</v>
      </c>
      <c r="D659">
        <v>64672</v>
      </c>
      <c r="E659">
        <v>37373</v>
      </c>
      <c r="F659">
        <v>25432</v>
      </c>
      <c r="G659">
        <v>20309</v>
      </c>
      <c r="H659">
        <f>'Total Traffic'!D657-'Page Sessions'!D659</f>
        <v>65584</v>
      </c>
      <c r="I659" s="2">
        <f t="shared" si="702"/>
        <v>0.31403080158337454</v>
      </c>
      <c r="J659" s="2">
        <f t="shared" si="714"/>
        <v>-2.9474382635935603E-3</v>
      </c>
      <c r="K659" s="2">
        <f>D659/'Total Traffic'!D657</f>
        <v>0.49649920157228844</v>
      </c>
      <c r="L659" s="5">
        <f t="shared" si="703"/>
        <v>0.57788532904502721</v>
      </c>
      <c r="M659" s="5">
        <f t="shared" si="704"/>
        <v>0.680491263746555</v>
      </c>
      <c r="N659" s="5">
        <f t="shared" si="705"/>
        <v>0.79856086819754635</v>
      </c>
      <c r="O659" s="5">
        <f t="shared" si="715"/>
        <v>2.9869310051667819E-2</v>
      </c>
      <c r="P659" s="2">
        <f t="shared" ref="P659:R659" si="723">(L659/L652)-1</f>
        <v>-3.4097374133540193E-2</v>
      </c>
      <c r="Q659" s="2">
        <f t="shared" si="723"/>
        <v>1.4159164576115213E-2</v>
      </c>
      <c r="R659" s="2">
        <f t="shared" si="723"/>
        <v>1.7837827907528192E-2</v>
      </c>
      <c r="S659" s="3"/>
    </row>
    <row r="660" spans="3:19" x14ac:dyDescent="0.25">
      <c r="C660" s="1">
        <f t="shared" si="707"/>
        <v>44122</v>
      </c>
      <c r="D660">
        <v>65390</v>
      </c>
      <c r="E660">
        <v>37736</v>
      </c>
      <c r="F660">
        <v>25720</v>
      </c>
      <c r="G660">
        <v>19925</v>
      </c>
      <c r="H660">
        <f>'Total Traffic'!D658-'Page Sessions'!D660</f>
        <v>65601</v>
      </c>
      <c r="I660" s="2">
        <f t="shared" si="702"/>
        <v>0.30471020033644286</v>
      </c>
      <c r="J660" s="2">
        <f t="shared" si="714"/>
        <v>-2.0499374803241599E-2</v>
      </c>
      <c r="K660" s="2">
        <f>D660/'Total Traffic'!D658</f>
        <v>0.49919460115580461</v>
      </c>
      <c r="L660" s="5">
        <f t="shared" si="703"/>
        <v>0.57709129836366413</v>
      </c>
      <c r="M660" s="5">
        <f t="shared" si="704"/>
        <v>0.68157727369090526</v>
      </c>
      <c r="N660" s="5">
        <f t="shared" si="705"/>
        <v>0.77468895800933124</v>
      </c>
      <c r="O660" s="5">
        <f t="shared" si="715"/>
        <v>6.1890931745465005E-2</v>
      </c>
      <c r="P660" s="2">
        <f t="shared" ref="P660:R660" si="724">(L660/L653)-1</f>
        <v>-5.1773107520414197E-4</v>
      </c>
      <c r="Q660" s="2">
        <f t="shared" si="724"/>
        <v>-2.2800504096560203E-2</v>
      </c>
      <c r="R660" s="2">
        <f t="shared" si="724"/>
        <v>2.8740394398905078E-3</v>
      </c>
      <c r="S660" s="3"/>
    </row>
    <row r="661" spans="3:19" x14ac:dyDescent="0.25">
      <c r="C661" s="1">
        <f t="shared" si="707"/>
        <v>44123</v>
      </c>
      <c r="D661">
        <v>62936</v>
      </c>
      <c r="E661">
        <v>36628</v>
      </c>
      <c r="F661">
        <v>25163</v>
      </c>
      <c r="G661">
        <v>19707</v>
      </c>
      <c r="H661">
        <f>'Total Traffic'!D659-'Page Sessions'!D661</f>
        <v>68128</v>
      </c>
      <c r="I661" s="2">
        <f t="shared" si="702"/>
        <v>0.31312762171094444</v>
      </c>
      <c r="J661" s="2">
        <f t="shared" si="714"/>
        <v>-1.9397347054996961E-2</v>
      </c>
      <c r="K661" s="2">
        <f>D661/'Total Traffic'!D659</f>
        <v>0.4801928828663859</v>
      </c>
      <c r="L661" s="5">
        <f t="shared" si="703"/>
        <v>0.5819880513537562</v>
      </c>
      <c r="M661" s="5">
        <f t="shared" si="704"/>
        <v>0.6869880965381675</v>
      </c>
      <c r="N661" s="5">
        <f t="shared" si="705"/>
        <v>0.7831737074275722</v>
      </c>
      <c r="O661" s="5">
        <f t="shared" si="715"/>
        <v>-3.2645431800786495E-2</v>
      </c>
      <c r="P661" s="2">
        <f t="shared" ref="P661:R661" si="725">(L661/L654)-1</f>
        <v>-1.1052254562183617E-2</v>
      </c>
      <c r="Q661" s="2">
        <f t="shared" si="725"/>
        <v>-1.7176862228840961E-2</v>
      </c>
      <c r="R661" s="2">
        <f t="shared" si="725"/>
        <v>8.89123032298067E-3</v>
      </c>
      <c r="S661" s="3"/>
    </row>
    <row r="662" spans="3:19" x14ac:dyDescent="0.25">
      <c r="C662" s="1">
        <f t="shared" si="707"/>
        <v>44124</v>
      </c>
      <c r="D662">
        <v>64297</v>
      </c>
      <c r="E662">
        <v>38070</v>
      </c>
      <c r="F662">
        <v>25518</v>
      </c>
      <c r="G662">
        <v>20243</v>
      </c>
      <c r="H662">
        <f>'Total Traffic'!D660-'Page Sessions'!D662</f>
        <v>66097</v>
      </c>
      <c r="I662" s="2">
        <f t="shared" si="702"/>
        <v>0.31483583993032332</v>
      </c>
      <c r="J662" s="2">
        <f t="shared" si="714"/>
        <v>3.2158266292572346E-3</v>
      </c>
      <c r="K662" s="2">
        <f>D662/'Total Traffic'!D660</f>
        <v>0.49309784192524198</v>
      </c>
      <c r="L662" s="5">
        <f t="shared" si="703"/>
        <v>0.59209605424825418</v>
      </c>
      <c r="M662" s="5">
        <f t="shared" si="704"/>
        <v>0.67029156816390856</v>
      </c>
      <c r="N662" s="5">
        <f t="shared" si="705"/>
        <v>0.79328317266243431</v>
      </c>
      <c r="O662" s="5">
        <f t="shared" si="715"/>
        <v>8.593106849557941E-3</v>
      </c>
      <c r="P662" s="2">
        <f t="shared" ref="P662:R662" si="726">(L662/L655)-1</f>
        <v>3.0274188389219026E-2</v>
      </c>
      <c r="Q662" s="2">
        <f t="shared" si="726"/>
        <v>-3.4010881579955687E-2</v>
      </c>
      <c r="R662" s="2">
        <f t="shared" si="726"/>
        <v>8.0203996482062223E-3</v>
      </c>
      <c r="S662" s="3"/>
    </row>
    <row r="663" spans="3:19" x14ac:dyDescent="0.25">
      <c r="C663" s="1">
        <f t="shared" si="707"/>
        <v>44125</v>
      </c>
      <c r="D663">
        <v>63198</v>
      </c>
      <c r="E663">
        <v>36035</v>
      </c>
      <c r="F663">
        <v>24997</v>
      </c>
      <c r="G663">
        <v>19627</v>
      </c>
      <c r="H663">
        <f>'Total Traffic'!D661-'Page Sessions'!D663</f>
        <v>67539</v>
      </c>
      <c r="I663" s="2">
        <f t="shared" si="702"/>
        <v>0.31056362543118454</v>
      </c>
      <c r="J663" s="2">
        <f t="shared" si="714"/>
        <v>-2.6484521584674514E-2</v>
      </c>
      <c r="K663" s="2">
        <f>D663/'Total Traffic'!D661</f>
        <v>0.483397966910668</v>
      </c>
      <c r="L663" s="5">
        <f t="shared" si="703"/>
        <v>0.57019209468654075</v>
      </c>
      <c r="M663" s="5">
        <f t="shared" si="704"/>
        <v>0.69368669349243794</v>
      </c>
      <c r="N663" s="5">
        <f t="shared" si="705"/>
        <v>0.78517422090650879</v>
      </c>
      <c r="O663" s="5">
        <f t="shared" si="715"/>
        <v>6.245004430549761E-3</v>
      </c>
      <c r="P663" s="2">
        <f t="shared" ref="P663:R663" si="727">(L663/L656)-1</f>
        <v>-3.9575444292361706E-2</v>
      </c>
      <c r="Q663" s="2">
        <f t="shared" si="727"/>
        <v>1.7913397726355917E-2</v>
      </c>
      <c r="R663" s="2">
        <f t="shared" si="727"/>
        <v>-4.2076741269898577E-3</v>
      </c>
      <c r="S663" s="3"/>
    </row>
    <row r="664" spans="3:19" x14ac:dyDescent="0.25">
      <c r="C664" s="1">
        <f t="shared" si="707"/>
        <v>44126</v>
      </c>
      <c r="D664">
        <v>64510</v>
      </c>
      <c r="E664">
        <v>37757</v>
      </c>
      <c r="F664">
        <v>26022</v>
      </c>
      <c r="G664">
        <v>20396</v>
      </c>
      <c r="H664">
        <f>'Total Traffic'!D662-'Page Sessions'!D664</f>
        <v>65761</v>
      </c>
      <c r="I664" s="2">
        <f t="shared" si="702"/>
        <v>0.31616803596341653</v>
      </c>
      <c r="J664" s="2">
        <f t="shared" si="714"/>
        <v>-2.1731709069172989E-2</v>
      </c>
      <c r="K664" s="2">
        <f>D664/'Total Traffic'!D662</f>
        <v>0.4951984708799349</v>
      </c>
      <c r="L664" s="5">
        <f t="shared" si="703"/>
        <v>0.5852891024647342</v>
      </c>
      <c r="M664" s="5">
        <f t="shared" si="704"/>
        <v>0.68919670524670917</v>
      </c>
      <c r="N664" s="5">
        <f t="shared" si="705"/>
        <v>0.78379832449465836</v>
      </c>
      <c r="O664" s="5">
        <f t="shared" si="715"/>
        <v>3.5120706565608728E-2</v>
      </c>
      <c r="P664" s="2">
        <f t="shared" ref="P664:R664" si="728">(L664/L657)-1</f>
        <v>-1.0648376927299807E-2</v>
      </c>
      <c r="Q664" s="2">
        <f t="shared" si="728"/>
        <v>-4.3078822861926103E-3</v>
      </c>
      <c r="R664" s="2">
        <f t="shared" si="728"/>
        <v>-6.9245698277574652E-3</v>
      </c>
      <c r="S664" s="3"/>
    </row>
    <row r="665" spans="3:19" x14ac:dyDescent="0.25">
      <c r="C665" s="1">
        <f t="shared" si="707"/>
        <v>44127</v>
      </c>
      <c r="D665">
        <v>64333</v>
      </c>
      <c r="E665">
        <v>37834</v>
      </c>
      <c r="F665">
        <v>25821</v>
      </c>
      <c r="G665">
        <v>20599</v>
      </c>
      <c r="H665">
        <f>'Total Traffic'!D663-'Page Sessions'!D665</f>
        <v>66347</v>
      </c>
      <c r="I665" s="2">
        <f t="shared" si="702"/>
        <v>0.32019336887755895</v>
      </c>
      <c r="J665" s="2">
        <f t="shared" si="714"/>
        <v>-1.1520022019872345E-2</v>
      </c>
      <c r="K665" s="2">
        <f>D665/'Total Traffic'!D663</f>
        <v>0.49229415365779</v>
      </c>
      <c r="L665" s="5">
        <f t="shared" si="703"/>
        <v>0.58809631137985174</v>
      </c>
      <c r="M665" s="5">
        <f t="shared" si="704"/>
        <v>0.6824813659671195</v>
      </c>
      <c r="N665" s="5">
        <f t="shared" si="705"/>
        <v>0.79776151194763956</v>
      </c>
      <c r="O665" s="5">
        <f t="shared" si="715"/>
        <v>3.5329780379305564E-2</v>
      </c>
      <c r="P665" s="2">
        <f t="shared" ref="P665:R665" si="729">(L665/L658)-1</f>
        <v>-1.1422885272890482E-2</v>
      </c>
      <c r="Q665" s="2">
        <f t="shared" si="729"/>
        <v>-5.8459301116257079E-3</v>
      </c>
      <c r="R665" s="2">
        <f t="shared" si="729"/>
        <v>5.7814690255124646E-3</v>
      </c>
      <c r="S665" s="3"/>
    </row>
    <row r="666" spans="3:19" x14ac:dyDescent="0.25">
      <c r="C666" s="1">
        <f t="shared" si="707"/>
        <v>44128</v>
      </c>
      <c r="D666">
        <v>62450</v>
      </c>
      <c r="E666">
        <v>36264</v>
      </c>
      <c r="F666">
        <v>24315</v>
      </c>
      <c r="G666">
        <v>19138</v>
      </c>
      <c r="H666">
        <f>'Total Traffic'!D664-'Page Sessions'!D666</f>
        <v>68173</v>
      </c>
      <c r="I666" s="2">
        <f t="shared" si="702"/>
        <v>0.30645316253002403</v>
      </c>
      <c r="J666" s="2">
        <f t="shared" si="714"/>
        <v>-2.4130241413082065E-2</v>
      </c>
      <c r="K666" s="2">
        <f>D666/'Total Traffic'!D664</f>
        <v>0.47809344449293001</v>
      </c>
      <c r="L666" s="5">
        <f t="shared" si="703"/>
        <v>0.5806885508406725</v>
      </c>
      <c r="M666" s="5">
        <f t="shared" si="704"/>
        <v>0.67049966909331571</v>
      </c>
      <c r="N666" s="5">
        <f t="shared" si="705"/>
        <v>0.78708616080608673</v>
      </c>
      <c r="O666" s="5">
        <f t="shared" si="715"/>
        <v>-3.7071070851820154E-2</v>
      </c>
      <c r="P666" s="2">
        <f t="shared" ref="P666:R666" si="730">(L666/L659)-1</f>
        <v>4.8508270668121689E-3</v>
      </c>
      <c r="Q666" s="2">
        <f t="shared" si="730"/>
        <v>-1.4682913926372776E-2</v>
      </c>
      <c r="R666" s="2">
        <f t="shared" si="730"/>
        <v>-1.4369233265035253E-2</v>
      </c>
      <c r="S666" s="3"/>
    </row>
    <row r="667" spans="3:19" x14ac:dyDescent="0.25">
      <c r="C667" s="1">
        <f t="shared" si="707"/>
        <v>44129</v>
      </c>
      <c r="D667">
        <v>63570</v>
      </c>
      <c r="E667">
        <v>37137</v>
      </c>
      <c r="F667">
        <v>25535</v>
      </c>
      <c r="G667">
        <v>8090</v>
      </c>
      <c r="H667">
        <f>'Total Traffic'!D665-'Page Sessions'!D667</f>
        <v>66911</v>
      </c>
      <c r="I667" s="2">
        <f t="shared" si="702"/>
        <v>0.12726128677048923</v>
      </c>
      <c r="J667" s="2">
        <f t="shared" si="714"/>
        <v>-0.58235304682949607</v>
      </c>
      <c r="K667" s="2">
        <f>D667/'Total Traffic'!D665</f>
        <v>0.48719736973199163</v>
      </c>
      <c r="L667" s="5">
        <f t="shared" si="703"/>
        <v>0.58419065596979702</v>
      </c>
      <c r="M667" s="5">
        <f t="shared" si="704"/>
        <v>0.68758919675795027</v>
      </c>
      <c r="N667" s="5">
        <f t="shared" si="705"/>
        <v>0.31682005091051496</v>
      </c>
      <c r="O667" s="5">
        <f t="shared" si="715"/>
        <v>-2.4033175431054987E-2</v>
      </c>
      <c r="P667" s="2">
        <f t="shared" ref="P667:R667" si="731">(L667/L660)-1</f>
        <v>1.2301966129558695E-2</v>
      </c>
      <c r="Q667" s="2">
        <f t="shared" si="731"/>
        <v>8.8206037658635772E-3</v>
      </c>
      <c r="R667" s="2">
        <f t="shared" si="731"/>
        <v>-0.59103579877448209</v>
      </c>
      <c r="S667" s="3"/>
    </row>
    <row r="668" spans="3:19" x14ac:dyDescent="0.25">
      <c r="C668" s="1">
        <f t="shared" si="707"/>
        <v>44130</v>
      </c>
      <c r="D668">
        <v>62776</v>
      </c>
      <c r="E668">
        <v>37458</v>
      </c>
      <c r="F668">
        <v>25448</v>
      </c>
      <c r="G668">
        <v>19694</v>
      </c>
      <c r="H668">
        <f>'Total Traffic'!D666-'Page Sessions'!D668</f>
        <v>67873</v>
      </c>
      <c r="I668" s="2">
        <f t="shared" si="702"/>
        <v>0.31371861858034916</v>
      </c>
      <c r="J668" s="2">
        <f t="shared" si="714"/>
        <v>1.8873993491073104E-3</v>
      </c>
      <c r="K668" s="2">
        <f>D668/'Total Traffic'!D666</f>
        <v>0.48049353611585238</v>
      </c>
      <c r="L668" s="5">
        <f t="shared" si="703"/>
        <v>0.5966930036956799</v>
      </c>
      <c r="M668" s="5">
        <f t="shared" si="704"/>
        <v>0.67937423247370388</v>
      </c>
      <c r="N668" s="5">
        <f t="shared" si="705"/>
        <v>0.77389185790631876</v>
      </c>
      <c r="O668" s="5">
        <f t="shared" si="715"/>
        <v>6.2610934104601057E-4</v>
      </c>
      <c r="P668" s="2">
        <f t="shared" ref="P668:R668" si="732">(L668/L661)-1</f>
        <v>2.5266759871991562E-2</v>
      </c>
      <c r="Q668" s="2">
        <f t="shared" si="732"/>
        <v>-1.1082963595484441E-2</v>
      </c>
      <c r="R668" s="2">
        <f t="shared" si="732"/>
        <v>-1.1851584690886541E-2</v>
      </c>
      <c r="S668" s="3"/>
    </row>
    <row r="669" spans="3:19" x14ac:dyDescent="0.25">
      <c r="C669" s="1">
        <f t="shared" si="707"/>
        <v>44131</v>
      </c>
      <c r="D669">
        <v>64003</v>
      </c>
      <c r="E669">
        <v>36929</v>
      </c>
      <c r="F669">
        <v>25144</v>
      </c>
      <c r="G669">
        <v>19418</v>
      </c>
      <c r="H669">
        <f>'Total Traffic'!D667-'Page Sessions'!D669</f>
        <v>66086</v>
      </c>
      <c r="I669" s="2">
        <f t="shared" si="702"/>
        <v>0.30339202849866415</v>
      </c>
      <c r="J669" s="2">
        <f t="shared" si="714"/>
        <v>-3.6348502871184629E-2</v>
      </c>
      <c r="K669" s="2">
        <f>D669/'Total Traffic'!D667</f>
        <v>0.49199394260852186</v>
      </c>
      <c r="L669" s="5">
        <f t="shared" si="703"/>
        <v>0.57698857866037534</v>
      </c>
      <c r="M669" s="5">
        <f t="shared" si="704"/>
        <v>0.68087410977822305</v>
      </c>
      <c r="N669" s="5">
        <f t="shared" si="705"/>
        <v>0.77227171492204905</v>
      </c>
      <c r="O669" s="5">
        <f t="shared" si="715"/>
        <v>-2.2387023889823832E-3</v>
      </c>
      <c r="P669" s="2">
        <f t="shared" ref="P669:R669" si="733">(L669/L662)-1</f>
        <v>-2.551524449366549E-2</v>
      </c>
      <c r="Q669" s="2">
        <f t="shared" si="733"/>
        <v>1.5787967679949499E-2</v>
      </c>
      <c r="R669" s="2">
        <f t="shared" si="733"/>
        <v>-2.6486705459623172E-2</v>
      </c>
      <c r="S669" s="3"/>
    </row>
    <row r="670" spans="3:19" x14ac:dyDescent="0.25">
      <c r="C670" s="1">
        <f t="shared" si="707"/>
        <v>44132</v>
      </c>
      <c r="D670">
        <v>63550</v>
      </c>
      <c r="E670">
        <v>37367</v>
      </c>
      <c r="F670">
        <v>25951</v>
      </c>
      <c r="G670">
        <v>20747</v>
      </c>
      <c r="H670">
        <f>'Total Traffic'!D668-'Page Sessions'!D670</f>
        <v>66891</v>
      </c>
      <c r="I670" s="2">
        <f t="shared" si="702"/>
        <v>0.3264673485444532</v>
      </c>
      <c r="J670" s="2">
        <f t="shared" si="714"/>
        <v>5.1209226744400649E-2</v>
      </c>
      <c r="K670" s="2">
        <f>D670/'Total Traffic'!D668</f>
        <v>0.48719344377917984</v>
      </c>
      <c r="L670" s="5">
        <f t="shared" si="703"/>
        <v>0.58799370574350907</v>
      </c>
      <c r="M670" s="5">
        <f t="shared" si="704"/>
        <v>0.69448979045682024</v>
      </c>
      <c r="N670" s="5">
        <f t="shared" si="705"/>
        <v>0.79946822858464028</v>
      </c>
      <c r="O670" s="5">
        <f t="shared" si="715"/>
        <v>7.8516608019023604E-3</v>
      </c>
      <c r="P670" s="2">
        <f t="shared" ref="P670:R670" si="734">(L670/L663)-1</f>
        <v>3.1220375068080619E-2</v>
      </c>
      <c r="Q670" s="2">
        <f t="shared" si="734"/>
        <v>1.1577228912076354E-3</v>
      </c>
      <c r="R670" s="2">
        <f t="shared" si="734"/>
        <v>1.8204886632203321E-2</v>
      </c>
      <c r="S670" s="3"/>
    </row>
    <row r="671" spans="3:19" x14ac:dyDescent="0.25">
      <c r="C671" s="1">
        <f t="shared" si="707"/>
        <v>44133</v>
      </c>
      <c r="D671">
        <v>64822</v>
      </c>
      <c r="E671">
        <v>38504</v>
      </c>
      <c r="F671">
        <v>26679</v>
      </c>
      <c r="G671">
        <v>21103</v>
      </c>
      <c r="H671">
        <f>'Total Traffic'!D669-'Page Sessions'!D671</f>
        <v>65631</v>
      </c>
      <c r="I671" s="2">
        <f t="shared" si="702"/>
        <v>0.32555305297584153</v>
      </c>
      <c r="J671" s="2">
        <f t="shared" si="714"/>
        <v>2.9683636373383893E-2</v>
      </c>
      <c r="K671" s="2">
        <f>D671/'Total Traffic'!D669</f>
        <v>0.49689926640245913</v>
      </c>
      <c r="L671" s="5">
        <f t="shared" si="703"/>
        <v>0.59399586560118478</v>
      </c>
      <c r="M671" s="5">
        <f t="shared" si="704"/>
        <v>0.69288905048826099</v>
      </c>
      <c r="N671" s="5">
        <f t="shared" si="705"/>
        <v>0.79099666404288016</v>
      </c>
      <c r="O671" s="5">
        <f t="shared" si="715"/>
        <v>3.4345734539567019E-3</v>
      </c>
      <c r="P671" s="2">
        <f t="shared" ref="P671:R671" si="735">(L671/L664)-1</f>
        <v>1.4876004182864833E-2</v>
      </c>
      <c r="Q671" s="2">
        <f t="shared" si="735"/>
        <v>5.3574621199474759E-3</v>
      </c>
      <c r="R671" s="2">
        <f t="shared" si="735"/>
        <v>9.1839180096013884E-3</v>
      </c>
      <c r="S671" s="3"/>
    </row>
    <row r="672" spans="3:19" x14ac:dyDescent="0.25">
      <c r="C672" s="1">
        <f t="shared" si="707"/>
        <v>44134</v>
      </c>
      <c r="D672">
        <v>61626</v>
      </c>
      <c r="E672">
        <v>35447</v>
      </c>
      <c r="F672">
        <v>24079</v>
      </c>
      <c r="G672">
        <v>18853</v>
      </c>
      <c r="H672">
        <f>'Total Traffic'!D670-'Page Sessions'!D672</f>
        <v>68829</v>
      </c>
      <c r="I672" s="2">
        <f t="shared" si="702"/>
        <v>0.30592607016519002</v>
      </c>
      <c r="J672" s="2">
        <f t="shared" si="714"/>
        <v>-4.4558382837168287E-2</v>
      </c>
      <c r="K672" s="2">
        <f>D672/'Total Traffic'!D670</f>
        <v>0.47239277911923649</v>
      </c>
      <c r="L672" s="5">
        <f t="shared" si="703"/>
        <v>0.57519553435238369</v>
      </c>
      <c r="M672" s="5">
        <f t="shared" si="704"/>
        <v>0.67929585014246618</v>
      </c>
      <c r="N672" s="5">
        <f t="shared" si="705"/>
        <v>0.7829644088209643</v>
      </c>
      <c r="O672" s="5">
        <f t="shared" si="715"/>
        <v>-4.0425778755820096E-2</v>
      </c>
      <c r="P672" s="2">
        <f t="shared" ref="P672:R672" si="736">(L672/L665)-1</f>
        <v>-2.1936503898823845E-2</v>
      </c>
      <c r="Q672" s="2">
        <f t="shared" si="736"/>
        <v>-4.6675498900093926E-3</v>
      </c>
      <c r="R672" s="2">
        <f t="shared" si="736"/>
        <v>-1.854827903460754E-2</v>
      </c>
      <c r="S672" s="3"/>
    </row>
    <row r="673" spans="3:19" x14ac:dyDescent="0.25">
      <c r="C673" s="1">
        <f t="shared" si="707"/>
        <v>44135</v>
      </c>
      <c r="D673">
        <v>64044</v>
      </c>
      <c r="E673">
        <v>36684</v>
      </c>
      <c r="F673">
        <v>24996</v>
      </c>
      <c r="G673">
        <v>19589</v>
      </c>
      <c r="H673">
        <f>'Total Traffic'!D671-'Page Sessions'!D673</f>
        <v>66102</v>
      </c>
      <c r="I673" s="2">
        <f t="shared" si="702"/>
        <v>0.30586784085940916</v>
      </c>
      <c r="J673" s="2">
        <f t="shared" si="714"/>
        <v>-1.9099873722383531E-3</v>
      </c>
      <c r="K673" s="2">
        <f>D673/'Total Traffic'!D671</f>
        <v>0.49209349499792543</v>
      </c>
      <c r="L673" s="5">
        <f t="shared" si="703"/>
        <v>0.57279370432827437</v>
      </c>
      <c r="M673" s="5">
        <f t="shared" si="704"/>
        <v>0.68138698070003267</v>
      </c>
      <c r="N673" s="5">
        <f t="shared" si="705"/>
        <v>0.78368538966234602</v>
      </c>
      <c r="O673" s="5">
        <f t="shared" si="715"/>
        <v>2.9283084021041184E-2</v>
      </c>
      <c r="P673" s="2">
        <f t="shared" ref="P673:R673" si="737">(L673/L666)-1</f>
        <v>-1.3595664148998043E-2</v>
      </c>
      <c r="Q673" s="2">
        <f t="shared" si="737"/>
        <v>1.6237609216779081E-2</v>
      </c>
      <c r="R673" s="2">
        <f t="shared" si="737"/>
        <v>-4.3207101243628587E-3</v>
      </c>
      <c r="S673" s="3"/>
    </row>
    <row r="674" spans="3:19" x14ac:dyDescent="0.25">
      <c r="C674" s="1">
        <f t="shared" si="707"/>
        <v>44136</v>
      </c>
      <c r="D674">
        <v>63337</v>
      </c>
      <c r="E674">
        <v>37831</v>
      </c>
      <c r="F674">
        <v>26337</v>
      </c>
      <c r="G674">
        <v>20848</v>
      </c>
      <c r="H674">
        <f>'Total Traffic'!D672-'Page Sessions'!D674</f>
        <v>66880</v>
      </c>
      <c r="I674" s="2">
        <f t="shared" si="702"/>
        <v>0.32915989074316748</v>
      </c>
      <c r="J674" s="2">
        <f t="shared" si="714"/>
        <v>1.5864887830090426</v>
      </c>
      <c r="K674" s="2">
        <f>D674/'Total Traffic'!D672</f>
        <v>0.48639578549651735</v>
      </c>
      <c r="L674" s="5">
        <f t="shared" si="703"/>
        <v>0.59729699859481822</v>
      </c>
      <c r="M674" s="5">
        <f t="shared" si="704"/>
        <v>0.69617509449922022</v>
      </c>
      <c r="N674" s="5">
        <f t="shared" si="705"/>
        <v>0.79158598169875083</v>
      </c>
      <c r="O674" s="5">
        <f t="shared" si="715"/>
        <v>-1.6452967221789461E-3</v>
      </c>
      <c r="P674" s="2">
        <f t="shared" ref="P674:R674" si="738">(L674/L667)-1</f>
        <v>2.2435043236464836E-2</v>
      </c>
      <c r="Q674" s="2">
        <f t="shared" si="738"/>
        <v>1.2486958465539155E-2</v>
      </c>
      <c r="R674" s="2">
        <f t="shared" si="738"/>
        <v>1.4985349867339437</v>
      </c>
      <c r="S674" s="3"/>
    </row>
    <row r="675" spans="3:19" x14ac:dyDescent="0.25">
      <c r="C675" s="1">
        <f t="shared" si="707"/>
        <v>44137</v>
      </c>
      <c r="D675">
        <v>63301</v>
      </c>
      <c r="E675">
        <v>37461</v>
      </c>
      <c r="F675">
        <v>25297</v>
      </c>
      <c r="G675">
        <v>20073</v>
      </c>
      <c r="H675">
        <f>'Total Traffic'!D673-'Page Sessions'!D675</f>
        <v>67730</v>
      </c>
      <c r="I675" s="2">
        <f t="shared" si="702"/>
        <v>0.31710399519754823</v>
      </c>
      <c r="J675" s="2">
        <f t="shared" si="714"/>
        <v>1.0791124328287216E-2</v>
      </c>
      <c r="K675" s="2">
        <f>D675/'Total Traffic'!D673</f>
        <v>0.48309941922140565</v>
      </c>
      <c r="L675" s="5">
        <f t="shared" si="703"/>
        <v>0.59179159886889621</v>
      </c>
      <c r="M675" s="5">
        <f t="shared" si="704"/>
        <v>0.67528896719254694</v>
      </c>
      <c r="N675" s="5">
        <f t="shared" si="705"/>
        <v>0.79349329960074322</v>
      </c>
      <c r="O675" s="5">
        <f t="shared" si="715"/>
        <v>5.4233468500290982E-3</v>
      </c>
      <c r="P675" s="2">
        <f t="shared" ref="P675:R675" si="739">(L675/L668)-1</f>
        <v>-8.2142823804306486E-3</v>
      </c>
      <c r="Q675" s="2">
        <f t="shared" si="739"/>
        <v>-6.0132767565850287E-3</v>
      </c>
      <c r="R675" s="2">
        <f t="shared" si="739"/>
        <v>2.5328398915391181E-2</v>
      </c>
      <c r="S675" s="3"/>
    </row>
    <row r="676" spans="3:19" x14ac:dyDescent="0.25">
      <c r="C676" s="1">
        <f t="shared" si="707"/>
        <v>44138</v>
      </c>
      <c r="D676">
        <v>61864</v>
      </c>
      <c r="E676">
        <v>35961</v>
      </c>
      <c r="F676">
        <v>24737</v>
      </c>
      <c r="G676">
        <v>19255</v>
      </c>
      <c r="H676">
        <f>'Total Traffic'!D674-'Page Sessions'!D676</f>
        <v>68459</v>
      </c>
      <c r="I676" s="2">
        <f t="shared" si="702"/>
        <v>0.31124725203672571</v>
      </c>
      <c r="J676" s="2">
        <f t="shared" si="714"/>
        <v>2.5891331347541069E-2</v>
      </c>
      <c r="K676" s="2">
        <f>D676/'Total Traffic'!D674</f>
        <v>0.47469748240909126</v>
      </c>
      <c r="L676" s="5">
        <f t="shared" si="703"/>
        <v>0.58129121944911422</v>
      </c>
      <c r="M676" s="5">
        <f t="shared" si="704"/>
        <v>0.68788409666027084</v>
      </c>
      <c r="N676" s="5">
        <f t="shared" si="705"/>
        <v>0.7783886485830942</v>
      </c>
      <c r="O676" s="5">
        <f t="shared" si="715"/>
        <v>-3.5155839740070416E-2</v>
      </c>
      <c r="P676" s="2">
        <f t="shared" ref="P676:R676" si="740">(L676/L669)-1</f>
        <v>7.457064052686313E-3</v>
      </c>
      <c r="Q676" s="2">
        <f t="shared" si="740"/>
        <v>1.0295569740977673E-2</v>
      </c>
      <c r="R676" s="2">
        <f t="shared" si="740"/>
        <v>7.9207014096878137E-3</v>
      </c>
      <c r="S676" s="3"/>
    </row>
    <row r="677" spans="3:19" x14ac:dyDescent="0.25">
      <c r="C677" s="1">
        <f t="shared" si="707"/>
        <v>44139</v>
      </c>
      <c r="D677">
        <v>64683</v>
      </c>
      <c r="E677">
        <v>37535</v>
      </c>
      <c r="F677">
        <v>25621</v>
      </c>
      <c r="G677">
        <v>20132</v>
      </c>
      <c r="H677">
        <f>'Total Traffic'!D675-'Page Sessions'!D677</f>
        <v>65702</v>
      </c>
      <c r="I677" s="2">
        <f t="shared" si="702"/>
        <v>0.31124097521759969</v>
      </c>
      <c r="J677" s="2">
        <f t="shared" si="714"/>
        <v>-4.66398045462737E-2</v>
      </c>
      <c r="K677" s="2">
        <f>D677/'Total Traffic'!D675</f>
        <v>0.49609234191049584</v>
      </c>
      <c r="L677" s="5">
        <f t="shared" si="703"/>
        <v>0.58029157583909219</v>
      </c>
      <c r="M677" s="5">
        <f t="shared" si="704"/>
        <v>0.68258958305581452</v>
      </c>
      <c r="N677" s="5">
        <f t="shared" si="705"/>
        <v>0.78576167987197998</v>
      </c>
      <c r="O677" s="5">
        <f t="shared" si="715"/>
        <v>1.8265636052666956E-2</v>
      </c>
      <c r="P677" s="2">
        <f t="shared" ref="P677:R677" si="741">(L677/L670)-1</f>
        <v>-1.3099000600147015E-2</v>
      </c>
      <c r="Q677" s="2">
        <f t="shared" si="741"/>
        <v>-1.7135179760062513E-2</v>
      </c>
      <c r="R677" s="2">
        <f t="shared" si="741"/>
        <v>-1.7144582139212772E-2</v>
      </c>
      <c r="S677" s="3"/>
    </row>
    <row r="678" spans="3:19" x14ac:dyDescent="0.25">
      <c r="C678" s="1">
        <f t="shared" si="707"/>
        <v>44140</v>
      </c>
      <c r="D678">
        <v>64390</v>
      </c>
      <c r="E678">
        <v>37822</v>
      </c>
      <c r="F678">
        <v>26214</v>
      </c>
      <c r="G678">
        <v>20486</v>
      </c>
      <c r="H678">
        <f>'Total Traffic'!D676-'Page Sessions'!D678</f>
        <v>65824</v>
      </c>
      <c r="I678" s="2">
        <f t="shared" si="702"/>
        <v>0.31815499301133715</v>
      </c>
      <c r="J678" s="2">
        <f t="shared" si="714"/>
        <v>-2.2724590959536717E-2</v>
      </c>
      <c r="K678" s="2">
        <f>D678/'Total Traffic'!D676</f>
        <v>0.4944936796350623</v>
      </c>
      <c r="L678" s="5">
        <f t="shared" si="703"/>
        <v>0.58738934617176575</v>
      </c>
      <c r="M678" s="5">
        <f t="shared" si="704"/>
        <v>0.6930886785468775</v>
      </c>
      <c r="N678" s="5">
        <f t="shared" si="705"/>
        <v>0.78149080643930724</v>
      </c>
      <c r="O678" s="5">
        <f t="shared" si="715"/>
        <v>-4.8411960533031317E-3</v>
      </c>
      <c r="P678" s="2">
        <f t="shared" ref="P678:R678" si="742">(L678/L671)-1</f>
        <v>-1.1122163994748635E-2</v>
      </c>
      <c r="Q678" s="2">
        <f t="shared" si="742"/>
        <v>2.8810970309867123E-4</v>
      </c>
      <c r="R678" s="2">
        <f t="shared" si="742"/>
        <v>-1.2017569777080128E-2</v>
      </c>
      <c r="S678" s="3"/>
    </row>
    <row r="679" spans="3:19" x14ac:dyDescent="0.25">
      <c r="C679" s="1">
        <f t="shared" si="707"/>
        <v>44141</v>
      </c>
      <c r="D679">
        <v>64244</v>
      </c>
      <c r="E679">
        <v>38128</v>
      </c>
      <c r="F679">
        <v>26171</v>
      </c>
      <c r="G679">
        <v>20722</v>
      </c>
      <c r="H679">
        <f>'Total Traffic'!D677-'Page Sessions'!D679</f>
        <v>66254</v>
      </c>
      <c r="I679" s="2">
        <f t="shared" si="702"/>
        <v>0.32255152232115059</v>
      </c>
      <c r="J679" s="2">
        <f t="shared" si="714"/>
        <v>5.434467270796306E-2</v>
      </c>
      <c r="K679" s="2">
        <f>D679/'Total Traffic'!D677</f>
        <v>0.49229873254762524</v>
      </c>
      <c r="L679" s="5">
        <f t="shared" si="703"/>
        <v>0.59348732955606753</v>
      </c>
      <c r="M679" s="5">
        <f t="shared" si="704"/>
        <v>0.68639844733529165</v>
      </c>
      <c r="N679" s="5">
        <f t="shared" si="705"/>
        <v>0.79179244201597188</v>
      </c>
      <c r="O679" s="5">
        <f t="shared" si="715"/>
        <v>4.2138564153124447E-2</v>
      </c>
      <c r="P679" s="2">
        <f t="shared" ref="P679:R679" si="743">(L679/L672)-1</f>
        <v>3.1801003504449588E-2</v>
      </c>
      <c r="Q679" s="2">
        <f t="shared" si="743"/>
        <v>1.0455823028119315E-2</v>
      </c>
      <c r="R679" s="2">
        <f t="shared" si="743"/>
        <v>1.1275139834646453E-2</v>
      </c>
      <c r="S679" s="3"/>
    </row>
    <row r="680" spans="3:19" x14ac:dyDescent="0.25">
      <c r="C680" s="1">
        <f t="shared" si="707"/>
        <v>44142</v>
      </c>
      <c r="D680">
        <v>62021</v>
      </c>
      <c r="E680">
        <v>36679</v>
      </c>
      <c r="F680">
        <v>24853</v>
      </c>
      <c r="G680">
        <v>19305</v>
      </c>
      <c r="H680">
        <f>'Total Traffic'!D678-'Page Sessions'!D680</f>
        <v>68441</v>
      </c>
      <c r="I680" s="2">
        <f t="shared" si="702"/>
        <v>0.31126553909159799</v>
      </c>
      <c r="J680" s="2">
        <f t="shared" si="714"/>
        <v>1.7647158383904404E-2</v>
      </c>
      <c r="K680" s="2">
        <f>D680/'Total Traffic'!D678</f>
        <v>0.47539513421532709</v>
      </c>
      <c r="L680" s="5">
        <f t="shared" si="703"/>
        <v>0.59139646248851196</v>
      </c>
      <c r="M680" s="5">
        <f t="shared" si="704"/>
        <v>0.6775811772403828</v>
      </c>
      <c r="N680" s="5">
        <f t="shared" si="705"/>
        <v>0.77676739226652713</v>
      </c>
      <c r="O680" s="5">
        <f t="shared" si="715"/>
        <v>-3.393330932502725E-2</v>
      </c>
      <c r="P680" s="2">
        <f t="shared" ref="P680:R680" si="744">(L680/L673)-1</f>
        <v>3.2477239221847531E-2</v>
      </c>
      <c r="Q680" s="2">
        <f t="shared" si="744"/>
        <v>-5.585377424939808E-3</v>
      </c>
      <c r="R680" s="2">
        <f t="shared" si="744"/>
        <v>-8.8275186536265204E-3</v>
      </c>
      <c r="S680" s="3"/>
    </row>
    <row r="681" spans="3:19" x14ac:dyDescent="0.25">
      <c r="C681" s="1">
        <f t="shared" si="707"/>
        <v>44143</v>
      </c>
      <c r="D681">
        <v>65220</v>
      </c>
      <c r="E681">
        <v>38571</v>
      </c>
      <c r="F681">
        <v>26559</v>
      </c>
      <c r="G681">
        <v>20532</v>
      </c>
      <c r="H681">
        <f>'Total Traffic'!D679-'Page Sessions'!D681</f>
        <v>65431</v>
      </c>
      <c r="I681" s="2">
        <f t="shared" si="702"/>
        <v>0.31481140754369824</v>
      </c>
      <c r="J681" s="2">
        <f t="shared" si="714"/>
        <v>-4.3591226036300057E-2</v>
      </c>
      <c r="K681" s="2">
        <f>D681/'Total Traffic'!D679</f>
        <v>0.49919250522384062</v>
      </c>
      <c r="L681" s="5">
        <f t="shared" si="703"/>
        <v>0.59139834406623737</v>
      </c>
      <c r="M681" s="5">
        <f t="shared" si="704"/>
        <v>0.6885743174924166</v>
      </c>
      <c r="N681" s="5">
        <f t="shared" si="705"/>
        <v>0.7730712752739185</v>
      </c>
      <c r="O681" s="5">
        <f t="shared" si="715"/>
        <v>2.6309273453634541E-2</v>
      </c>
      <c r="P681" s="2">
        <f t="shared" ref="P681:R681" si="745">(L681/L674)-1</f>
        <v>-9.8755803937703446E-3</v>
      </c>
      <c r="Q681" s="2">
        <f t="shared" si="745"/>
        <v>-1.0917909972448903E-2</v>
      </c>
      <c r="R681" s="2">
        <f t="shared" si="745"/>
        <v>-2.3389381384823937E-2</v>
      </c>
      <c r="S681" s="3"/>
    </row>
    <row r="682" spans="3:19" x14ac:dyDescent="0.25">
      <c r="C682" s="1">
        <f t="shared" si="707"/>
        <v>44144</v>
      </c>
      <c r="D682">
        <v>61273</v>
      </c>
      <c r="E682">
        <v>34943</v>
      </c>
      <c r="F682">
        <v>24323</v>
      </c>
      <c r="G682">
        <v>19203</v>
      </c>
      <c r="H682">
        <f>'Total Traffic'!D680-'Page Sessions'!D682</f>
        <v>69041</v>
      </c>
      <c r="I682" s="2">
        <f t="shared" si="702"/>
        <v>0.31340068219280925</v>
      </c>
      <c r="J682" s="2">
        <f t="shared" si="714"/>
        <v>-1.1678544139539726E-2</v>
      </c>
      <c r="K682" s="2">
        <f>D682/'Total Traffic'!D680</f>
        <v>0.47019506729898553</v>
      </c>
      <c r="L682" s="5">
        <f t="shared" si="703"/>
        <v>0.5702838117931226</v>
      </c>
      <c r="M682" s="5">
        <f t="shared" si="704"/>
        <v>0.69607646738974904</v>
      </c>
      <c r="N682" s="5">
        <f t="shared" si="705"/>
        <v>0.78949965053652926</v>
      </c>
      <c r="O682" s="5">
        <f t="shared" si="715"/>
        <v>-2.6711586495420825E-2</v>
      </c>
      <c r="P682" s="2">
        <f t="shared" ref="P682:R682" si="746">(L682/L675)-1</f>
        <v>-3.6343515380890645E-2</v>
      </c>
      <c r="Q682" s="2">
        <f t="shared" si="746"/>
        <v>3.0783118349503313E-2</v>
      </c>
      <c r="R682" s="2">
        <f t="shared" si="746"/>
        <v>-5.0329965813491473E-3</v>
      </c>
      <c r="S682" s="3"/>
    </row>
    <row r="683" spans="3:19" x14ac:dyDescent="0.25">
      <c r="C683" s="1">
        <f t="shared" si="707"/>
        <v>44145</v>
      </c>
      <c r="D683">
        <v>64179</v>
      </c>
      <c r="E683">
        <v>16491</v>
      </c>
      <c r="F683">
        <v>11274</v>
      </c>
      <c r="G683">
        <v>8861</v>
      </c>
      <c r="H683">
        <f>'Total Traffic'!D681-'Page Sessions'!D683</f>
        <v>66320</v>
      </c>
      <c r="I683" s="2">
        <f t="shared" si="702"/>
        <v>0.13806696894622852</v>
      </c>
      <c r="J683" s="2">
        <f t="shared" si="714"/>
        <v>-0.55640742836201085</v>
      </c>
      <c r="K683" s="2">
        <f>D683/'Total Traffic'!D681</f>
        <v>0.49179687200668204</v>
      </c>
      <c r="L683" s="5">
        <f t="shared" si="703"/>
        <v>0.25695320899359603</v>
      </c>
      <c r="M683" s="5">
        <f t="shared" si="704"/>
        <v>0.68364562488630165</v>
      </c>
      <c r="N683" s="5">
        <f t="shared" si="705"/>
        <v>0.78596771332268933</v>
      </c>
      <c r="O683" s="5">
        <f t="shared" si="715"/>
        <v>3.6021656383790512E-2</v>
      </c>
      <c r="P683" s="2">
        <f t="shared" ref="P683:R683" si="747">(L683/L676)-1</f>
        <v>-0.55796131027558116</v>
      </c>
      <c r="Q683" s="2">
        <f t="shared" si="747"/>
        <v>-6.1616074489108108E-3</v>
      </c>
      <c r="R683" s="2">
        <f t="shared" si="747"/>
        <v>9.736864422922098E-3</v>
      </c>
      <c r="S683" s="3"/>
    </row>
    <row r="684" spans="3:19" x14ac:dyDescent="0.25">
      <c r="C684" s="1">
        <f t="shared" si="707"/>
        <v>44146</v>
      </c>
      <c r="D684">
        <v>63591</v>
      </c>
      <c r="E684">
        <v>37296</v>
      </c>
      <c r="F684">
        <v>25491</v>
      </c>
      <c r="G684">
        <v>20099</v>
      </c>
      <c r="H684">
        <f>'Total Traffic'!D682-'Page Sessions'!D684</f>
        <v>66907</v>
      </c>
      <c r="I684" s="2">
        <f t="shared" si="702"/>
        <v>0.31606673900394711</v>
      </c>
      <c r="J684" s="2">
        <f t="shared" si="714"/>
        <v>1.5504911533494425E-2</v>
      </c>
      <c r="K684" s="2">
        <f>D684/'Total Traffic'!D682</f>
        <v>0.48729482444175387</v>
      </c>
      <c r="L684" s="5">
        <f t="shared" si="703"/>
        <v>0.58649808935226688</v>
      </c>
      <c r="M684" s="5">
        <f t="shared" si="704"/>
        <v>0.683478120978121</v>
      </c>
      <c r="N684" s="5">
        <f t="shared" si="705"/>
        <v>0.78847436350084343</v>
      </c>
      <c r="O684" s="5">
        <f t="shared" si="715"/>
        <v>-1.7733628853979E-2</v>
      </c>
      <c r="P684" s="2">
        <f t="shared" ref="P684:R684" si="748">(L684/L677)-1</f>
        <v>1.0695508553954403E-2</v>
      </c>
      <c r="Q684" s="2">
        <f t="shared" si="748"/>
        <v>1.3017162059940635E-3</v>
      </c>
      <c r="R684" s="2">
        <f t="shared" si="748"/>
        <v>3.4522981946707443E-3</v>
      </c>
      <c r="S684" s="3"/>
    </row>
    <row r="685" spans="3:19" x14ac:dyDescent="0.25">
      <c r="C685" s="1">
        <f t="shared" si="707"/>
        <v>44147</v>
      </c>
      <c r="D685">
        <v>65028</v>
      </c>
      <c r="E685">
        <v>37560</v>
      </c>
      <c r="F685">
        <v>25582</v>
      </c>
      <c r="G685">
        <v>27654</v>
      </c>
      <c r="H685">
        <f>'Total Traffic'!D683-'Page Sessions'!D685</f>
        <v>65420</v>
      </c>
      <c r="I685" s="2">
        <f t="shared" si="702"/>
        <v>0.42526296364642924</v>
      </c>
      <c r="J685" s="2">
        <f t="shared" si="714"/>
        <v>0.33665343303688267</v>
      </c>
      <c r="K685" s="2">
        <f>D685/'Total Traffic'!D683</f>
        <v>0.49849748558812707</v>
      </c>
      <c r="L685" s="5">
        <f t="shared" si="703"/>
        <v>0.57759734268315188</v>
      </c>
      <c r="M685" s="5">
        <f t="shared" si="704"/>
        <v>0.68109691160809371</v>
      </c>
      <c r="N685" s="5">
        <f t="shared" si="705"/>
        <v>1.0809944492221093</v>
      </c>
      <c r="O685" s="5">
        <f t="shared" si="715"/>
        <v>8.096778822369588E-3</v>
      </c>
      <c r="P685" s="2">
        <f t="shared" ref="P685:R685" si="749">(L685/L678)-1</f>
        <v>-1.6670379795670431E-2</v>
      </c>
      <c r="Q685" s="2">
        <f t="shared" si="749"/>
        <v>-1.7301922986140195E-2</v>
      </c>
      <c r="R685" s="2">
        <f t="shared" si="749"/>
        <v>0.38324653382350737</v>
      </c>
      <c r="S685" s="3"/>
    </row>
    <row r="686" spans="3:19" x14ac:dyDescent="0.25">
      <c r="C686" s="1">
        <f t="shared" si="707"/>
        <v>44148</v>
      </c>
      <c r="D686">
        <v>62006</v>
      </c>
      <c r="E686">
        <v>36471</v>
      </c>
      <c r="F686">
        <v>24679</v>
      </c>
      <c r="G686">
        <v>19471</v>
      </c>
      <c r="H686">
        <f>'Total Traffic'!D684-'Page Sessions'!D686</f>
        <v>68069</v>
      </c>
      <c r="I686" s="2">
        <f t="shared" si="702"/>
        <v>0.31401799825823307</v>
      </c>
      <c r="J686" s="2">
        <f t="shared" si="714"/>
        <v>-2.6456313092272588E-2</v>
      </c>
      <c r="K686" s="2">
        <f>D686/'Total Traffic'!D684</f>
        <v>0.47669421487603308</v>
      </c>
      <c r="L686" s="5">
        <f t="shared" si="703"/>
        <v>0.58818501435344972</v>
      </c>
      <c r="M686" s="5">
        <f t="shared" si="704"/>
        <v>0.67667461818979469</v>
      </c>
      <c r="N686" s="5">
        <f t="shared" si="705"/>
        <v>0.78897037967502737</v>
      </c>
      <c r="O686" s="5">
        <f t="shared" si="715"/>
        <v>-3.1697253394985303E-2</v>
      </c>
      <c r="P686" s="2">
        <f t="shared" ref="P686:R686" si="750">(L686/L679)-1</f>
        <v>-8.9341674852333464E-3</v>
      </c>
      <c r="Q686" s="2">
        <f t="shared" si="750"/>
        <v>-1.416644979784909E-2</v>
      </c>
      <c r="R686" s="2">
        <f t="shared" si="750"/>
        <v>-3.5641440751307263E-3</v>
      </c>
      <c r="S686" s="3"/>
    </row>
    <row r="687" spans="3:19" x14ac:dyDescent="0.25">
      <c r="C687" s="1">
        <f t="shared" si="707"/>
        <v>44149</v>
      </c>
      <c r="D687">
        <v>63756</v>
      </c>
      <c r="E687">
        <v>38164</v>
      </c>
      <c r="F687">
        <v>26688</v>
      </c>
      <c r="G687">
        <v>20741</v>
      </c>
      <c r="H687">
        <f>'Total Traffic'!D685-'Page Sessions'!D687</f>
        <v>66386</v>
      </c>
      <c r="I687" s="2">
        <f t="shared" si="702"/>
        <v>0.32531840140535795</v>
      </c>
      <c r="J687" s="2">
        <f t="shared" si="714"/>
        <v>4.5147504458000753E-2</v>
      </c>
      <c r="K687" s="2">
        <f>D687/'Total Traffic'!D685</f>
        <v>0.48989565244117961</v>
      </c>
      <c r="L687" s="5">
        <f t="shared" si="703"/>
        <v>0.59859464207290292</v>
      </c>
      <c r="M687" s="5">
        <f t="shared" si="704"/>
        <v>0.69929776752960904</v>
      </c>
      <c r="N687" s="5">
        <f t="shared" si="705"/>
        <v>0.77716576738609111</v>
      </c>
      <c r="O687" s="5">
        <f t="shared" si="715"/>
        <v>3.0502033323893007E-2</v>
      </c>
      <c r="P687" s="2">
        <f t="shared" ref="P687:R687" si="751">(L687/L680)-1</f>
        <v>1.217149584240329E-2</v>
      </c>
      <c r="Q687" s="2">
        <f t="shared" si="751"/>
        <v>3.20501675941951E-2</v>
      </c>
      <c r="R687" s="2">
        <f t="shared" si="751"/>
        <v>5.1286282551266105E-4</v>
      </c>
      <c r="S687" s="3"/>
    </row>
    <row r="688" spans="3:19" x14ac:dyDescent="0.25">
      <c r="C688" s="1">
        <f t="shared" si="707"/>
        <v>44150</v>
      </c>
      <c r="D688">
        <v>61728</v>
      </c>
      <c r="E688">
        <v>36376</v>
      </c>
      <c r="F688">
        <v>24571</v>
      </c>
      <c r="G688">
        <v>19386</v>
      </c>
      <c r="H688">
        <f>'Total Traffic'!D686-'Page Sessions'!D688</f>
        <v>69191</v>
      </c>
      <c r="I688" s="2">
        <f t="shared" si="702"/>
        <v>0.31405520995334368</v>
      </c>
      <c r="J688" s="2">
        <f t="shared" si="714"/>
        <v>-2.4020654024412558E-3</v>
      </c>
      <c r="K688" s="2">
        <f>D688/'Total Traffic'!D686</f>
        <v>0.4714976435811456</v>
      </c>
      <c r="L688" s="5">
        <f t="shared" si="703"/>
        <v>0.58929497148781751</v>
      </c>
      <c r="M688" s="5">
        <f t="shared" si="704"/>
        <v>0.67547283923466017</v>
      </c>
      <c r="N688" s="5">
        <f t="shared" si="705"/>
        <v>0.78897887753856177</v>
      </c>
      <c r="O688" s="5">
        <f t="shared" si="715"/>
        <v>-5.5479321810483762E-2</v>
      </c>
      <c r="P688" s="2">
        <f t="shared" ref="P688:R688" si="752">(L688/L681)-1</f>
        <v>-3.556608839919706E-3</v>
      </c>
      <c r="Q688" s="2">
        <f t="shared" si="752"/>
        <v>-1.902696328475928E-2</v>
      </c>
      <c r="R688" s="2">
        <f t="shared" si="752"/>
        <v>2.0577148283005053E-2</v>
      </c>
      <c r="S688" s="3"/>
    </row>
    <row r="689" spans="3:19" x14ac:dyDescent="0.25">
      <c r="C689" s="1">
        <f t="shared" si="707"/>
        <v>44151</v>
      </c>
      <c r="D689">
        <v>64845</v>
      </c>
      <c r="E689">
        <v>38025</v>
      </c>
      <c r="F689">
        <v>26537</v>
      </c>
      <c r="G689">
        <v>20985</v>
      </c>
      <c r="H689">
        <f>'Total Traffic'!D687-'Page Sessions'!D689</f>
        <v>65394</v>
      </c>
      <c r="I689" s="2">
        <f t="shared" si="702"/>
        <v>0.323617857969003</v>
      </c>
      <c r="J689" s="2">
        <f t="shared" si="714"/>
        <v>3.2601000434032246E-2</v>
      </c>
      <c r="K689" s="2">
        <f>D689/'Total Traffic'!D687</f>
        <v>0.49789233639693181</v>
      </c>
      <c r="L689" s="5">
        <f t="shared" si="703"/>
        <v>0.5863983344899375</v>
      </c>
      <c r="M689" s="5">
        <f t="shared" si="704"/>
        <v>0.69788297172912561</v>
      </c>
      <c r="N689" s="5">
        <f t="shared" si="705"/>
        <v>0.79078268078531866</v>
      </c>
      <c r="O689" s="5">
        <f t="shared" si="715"/>
        <v>5.8905911661413235E-2</v>
      </c>
      <c r="P689" s="2">
        <f t="shared" ref="P689:R689" si="753">(L689/L682)-1</f>
        <v>2.8257022842971047E-2</v>
      </c>
      <c r="Q689" s="2">
        <f t="shared" si="753"/>
        <v>2.5952670776974163E-3</v>
      </c>
      <c r="R689" s="2">
        <f t="shared" si="753"/>
        <v>1.625118197224662E-3</v>
      </c>
      <c r="S689" s="3"/>
    </row>
    <row r="690" spans="3:19" x14ac:dyDescent="0.25">
      <c r="C690" s="1">
        <f t="shared" si="707"/>
        <v>44152</v>
      </c>
      <c r="D690">
        <v>64483</v>
      </c>
      <c r="E690">
        <v>38302</v>
      </c>
      <c r="F690">
        <v>26141</v>
      </c>
      <c r="G690">
        <v>20643</v>
      </c>
      <c r="H690">
        <f>'Total Traffic'!D688-'Page Sessions'!D690</f>
        <v>66395</v>
      </c>
      <c r="I690" s="2">
        <f t="shared" si="702"/>
        <v>0.32013088721058264</v>
      </c>
      <c r="J690" s="2">
        <f t="shared" si="714"/>
        <v>1.3186638314285051</v>
      </c>
      <c r="K690" s="2">
        <f>D690/'Total Traffic'!D688</f>
        <v>0.49269548740047986</v>
      </c>
      <c r="L690" s="5">
        <f t="shared" si="703"/>
        <v>0.59398601181706812</v>
      </c>
      <c r="M690" s="5">
        <f t="shared" si="704"/>
        <v>0.68249699754582005</v>
      </c>
      <c r="N690" s="5">
        <f t="shared" si="705"/>
        <v>0.78967904823839941</v>
      </c>
      <c r="O690" s="5">
        <f t="shared" si="715"/>
        <v>1.8272084369532759E-3</v>
      </c>
      <c r="P690" s="2">
        <f t="shared" ref="P690:R690" si="754">(L690/L683)-1</f>
        <v>1.3116504913230016</v>
      </c>
      <c r="Q690" s="2">
        <f t="shared" si="754"/>
        <v>-1.6801502103851451E-3</v>
      </c>
      <c r="R690" s="2">
        <f t="shared" si="754"/>
        <v>4.7219941134990506E-3</v>
      </c>
      <c r="S690" s="3"/>
    </row>
    <row r="691" spans="3:19" x14ac:dyDescent="0.25">
      <c r="C691" s="1">
        <f t="shared" si="707"/>
        <v>44153</v>
      </c>
      <c r="D691">
        <v>63123</v>
      </c>
      <c r="E691">
        <v>37413</v>
      </c>
      <c r="F691">
        <v>25770</v>
      </c>
      <c r="G691">
        <v>20056</v>
      </c>
      <c r="H691">
        <f>'Total Traffic'!D689-'Page Sessions'!D691</f>
        <v>67189</v>
      </c>
      <c r="I691" s="2">
        <f t="shared" si="702"/>
        <v>0.317728878538726</v>
      </c>
      <c r="J691" s="2">
        <f t="shared" si="714"/>
        <v>5.2588245761542307E-3</v>
      </c>
      <c r="K691" s="2">
        <f>D691/'Total Traffic'!D689</f>
        <v>0.48439898090736078</v>
      </c>
      <c r="L691" s="5">
        <f t="shared" si="703"/>
        <v>0.59269996673161918</v>
      </c>
      <c r="M691" s="5">
        <f t="shared" si="704"/>
        <v>0.6887980113864165</v>
      </c>
      <c r="N691" s="5">
        <f t="shared" si="705"/>
        <v>0.77826930539386885</v>
      </c>
      <c r="O691" s="5">
        <f t="shared" si="715"/>
        <v>-5.9426929840894482E-3</v>
      </c>
      <c r="P691" s="2">
        <f t="shared" ref="P691:R691" si="755">(L691/L684)-1</f>
        <v>1.0574420431960219E-2</v>
      </c>
      <c r="Q691" s="2">
        <f t="shared" si="755"/>
        <v>7.7835562617312171E-3</v>
      </c>
      <c r="R691" s="2">
        <f t="shared" si="755"/>
        <v>-1.2942789999745741E-2</v>
      </c>
      <c r="S691" s="3"/>
    </row>
    <row r="692" spans="3:19" x14ac:dyDescent="0.25">
      <c r="C692" s="1">
        <f t="shared" si="707"/>
        <v>44154</v>
      </c>
      <c r="D692">
        <v>63118</v>
      </c>
      <c r="E692">
        <v>36924</v>
      </c>
      <c r="F692">
        <v>25433</v>
      </c>
      <c r="G692">
        <v>19677</v>
      </c>
      <c r="H692">
        <f>'Total Traffic'!D690-'Page Sessions'!D692</f>
        <v>67212</v>
      </c>
      <c r="I692" s="2">
        <f t="shared" si="702"/>
        <v>0.31174942171805192</v>
      </c>
      <c r="J692" s="2">
        <f t="shared" si="714"/>
        <v>-0.26692552992400809</v>
      </c>
      <c r="K692" s="2">
        <f>D692/'Total Traffic'!D690</f>
        <v>0.48429371595181464</v>
      </c>
      <c r="L692" s="5">
        <f t="shared" si="703"/>
        <v>0.58499952469976868</v>
      </c>
      <c r="M692" s="5">
        <f t="shared" si="704"/>
        <v>0.68879319683674578</v>
      </c>
      <c r="N692" s="5">
        <f t="shared" si="705"/>
        <v>0.77367986474265715</v>
      </c>
      <c r="O692" s="5">
        <f t="shared" si="715"/>
        <v>-2.8493162045852283E-2</v>
      </c>
      <c r="P692" s="2">
        <f t="shared" ref="P692:R692" si="756">(L692/L685)-1</f>
        <v>1.281547103771441E-2</v>
      </c>
      <c r="Q692" s="2">
        <f t="shared" si="756"/>
        <v>1.1299838682987007E-2</v>
      </c>
      <c r="R692" s="2">
        <f t="shared" si="756"/>
        <v>-0.28428877197343405</v>
      </c>
      <c r="S692" s="3"/>
    </row>
    <row r="693" spans="3:19" x14ac:dyDescent="0.25">
      <c r="C693" s="1">
        <f t="shared" si="707"/>
        <v>44155</v>
      </c>
      <c r="D693">
        <v>63154</v>
      </c>
      <c r="E693">
        <v>37759</v>
      </c>
      <c r="F693">
        <v>26087</v>
      </c>
      <c r="G693">
        <v>9116</v>
      </c>
      <c r="H693">
        <f>'Total Traffic'!D691-'Page Sessions'!D693</f>
        <v>67168</v>
      </c>
      <c r="I693" s="2">
        <f t="shared" si="702"/>
        <v>0.1443455679766919</v>
      </c>
      <c r="J693" s="2">
        <f t="shared" si="714"/>
        <v>-0.54032708705445232</v>
      </c>
      <c r="K693" s="2">
        <f>D693/'Total Traffic'!D691</f>
        <v>0.48459968385997759</v>
      </c>
      <c r="L693" s="5">
        <f t="shared" si="703"/>
        <v>0.59788770307502292</v>
      </c>
      <c r="M693" s="5">
        <f t="shared" si="704"/>
        <v>0.69088164411133768</v>
      </c>
      <c r="N693" s="5">
        <f t="shared" si="705"/>
        <v>0.34944608425652623</v>
      </c>
      <c r="O693" s="5">
        <f t="shared" si="715"/>
        <v>1.6583941523184542E-2</v>
      </c>
      <c r="P693" s="2">
        <f t="shared" ref="P693:R693" si="757">(L693/L686)-1</f>
        <v>1.6495980830519175E-2</v>
      </c>
      <c r="Q693" s="2">
        <f t="shared" si="757"/>
        <v>2.0995358093301775E-2</v>
      </c>
      <c r="R693" s="2">
        <f t="shared" si="757"/>
        <v>-0.55708592710354832</v>
      </c>
      <c r="S693" s="3"/>
    </row>
    <row r="694" spans="3:19" x14ac:dyDescent="0.25">
      <c r="C694" s="1">
        <f t="shared" si="707"/>
        <v>44156</v>
      </c>
      <c r="D694">
        <v>63062</v>
      </c>
      <c r="E694">
        <v>36191</v>
      </c>
      <c r="F694">
        <v>24783</v>
      </c>
      <c r="G694">
        <v>19568</v>
      </c>
      <c r="H694">
        <f>'Total Traffic'!D692-'Page Sessions'!D694</f>
        <v>67746</v>
      </c>
      <c r="I694" s="2">
        <f t="shared" si="702"/>
        <v>0.31029780216295072</v>
      </c>
      <c r="J694" s="2">
        <f t="shared" si="714"/>
        <v>-4.6171993891274021E-2</v>
      </c>
      <c r="K694" s="2">
        <f>D694/'Total Traffic'!D692</f>
        <v>0.48209589627545718</v>
      </c>
      <c r="L694" s="5">
        <f t="shared" si="703"/>
        <v>0.57389553138181471</v>
      </c>
      <c r="M694" s="5">
        <f t="shared" si="704"/>
        <v>0.68478350971235946</v>
      </c>
      <c r="N694" s="5">
        <f t="shared" si="705"/>
        <v>0.78957349796231291</v>
      </c>
      <c r="O694" s="5">
        <f t="shared" si="715"/>
        <v>-1.5921260225224998E-2</v>
      </c>
      <c r="P694" s="2">
        <f t="shared" ref="P694:R694" si="758">(L694/L687)-1</f>
        <v>-4.1261830552903778E-2</v>
      </c>
      <c r="Q694" s="2">
        <f t="shared" si="758"/>
        <v>-2.0755475694601011E-2</v>
      </c>
      <c r="R694" s="2">
        <f t="shared" si="758"/>
        <v>1.5965359125317269E-2</v>
      </c>
      <c r="S694" s="3"/>
    </row>
    <row r="695" spans="3:19" x14ac:dyDescent="0.25">
      <c r="C695" s="1">
        <f t="shared" si="707"/>
        <v>44157</v>
      </c>
      <c r="D695">
        <v>62441</v>
      </c>
      <c r="E695">
        <v>35685</v>
      </c>
      <c r="F695">
        <v>24519</v>
      </c>
      <c r="G695">
        <v>18943</v>
      </c>
      <c r="H695">
        <f>'Total Traffic'!D693-'Page Sessions'!D695</f>
        <v>68163</v>
      </c>
      <c r="I695" s="2">
        <f t="shared" si="702"/>
        <v>0.3033743854198363</v>
      </c>
      <c r="J695" s="2">
        <f t="shared" si="714"/>
        <v>-3.4009384958441302E-2</v>
      </c>
      <c r="K695" s="2">
        <f>D695/'Total Traffic'!D693</f>
        <v>0.47809408593917491</v>
      </c>
      <c r="L695" s="5">
        <f t="shared" si="703"/>
        <v>0.57149949552377444</v>
      </c>
      <c r="M695" s="5">
        <f t="shared" si="704"/>
        <v>0.68709541824295928</v>
      </c>
      <c r="N695" s="5">
        <f t="shared" si="705"/>
        <v>0.77258452628573759</v>
      </c>
      <c r="O695" s="5">
        <f t="shared" si="715"/>
        <v>1.3990403659130957E-2</v>
      </c>
      <c r="P695" s="2">
        <f t="shared" ref="P695:R695" si="759">(L695/L688)-1</f>
        <v>-3.0197909069398787E-2</v>
      </c>
      <c r="Q695" s="2">
        <f t="shared" si="759"/>
        <v>1.7206582312721874E-2</v>
      </c>
      <c r="R695" s="2">
        <f t="shared" si="759"/>
        <v>-2.0779201724602459E-2</v>
      </c>
      <c r="S695" s="3"/>
    </row>
    <row r="696" spans="3:19" x14ac:dyDescent="0.25">
      <c r="C696" s="1">
        <f t="shared" si="707"/>
        <v>44158</v>
      </c>
      <c r="D696">
        <v>64224</v>
      </c>
      <c r="E696">
        <v>38450</v>
      </c>
      <c r="F696">
        <v>26142</v>
      </c>
      <c r="G696">
        <v>20145</v>
      </c>
      <c r="H696">
        <f>'Total Traffic'!D694-'Page Sessions'!D696</f>
        <v>66155</v>
      </c>
      <c r="I696" s="2">
        <f t="shared" si="702"/>
        <v>0.31366778774289983</v>
      </c>
      <c r="J696" s="2">
        <f t="shared" si="714"/>
        <v>-3.0746357103248023E-2</v>
      </c>
      <c r="K696" s="2">
        <f>D696/'Total Traffic'!D694</f>
        <v>0.49259466631896243</v>
      </c>
      <c r="L696" s="5">
        <f t="shared" si="703"/>
        <v>0.59868584952665671</v>
      </c>
      <c r="M696" s="5">
        <f t="shared" si="704"/>
        <v>0.67989596879063718</v>
      </c>
      <c r="N696" s="5">
        <f t="shared" si="705"/>
        <v>0.77059903603396829</v>
      </c>
      <c r="O696" s="5">
        <f t="shared" si="715"/>
        <v>-1.0640192046952768E-2</v>
      </c>
      <c r="P696" s="2">
        <f t="shared" ref="P696:R696" si="760">(L696/L689)-1</f>
        <v>2.0954212033032382E-2</v>
      </c>
      <c r="Q696" s="2">
        <f t="shared" si="760"/>
        <v>-2.5773666455741862E-2</v>
      </c>
      <c r="R696" s="2">
        <f t="shared" si="760"/>
        <v>-2.5523630248586393E-2</v>
      </c>
      <c r="S696" s="3"/>
    </row>
    <row r="697" spans="3:19" x14ac:dyDescent="0.25">
      <c r="C697" s="1">
        <f t="shared" si="707"/>
        <v>44159</v>
      </c>
      <c r="D697">
        <v>62694</v>
      </c>
      <c r="E697">
        <v>37334</v>
      </c>
      <c r="F697">
        <v>25148</v>
      </c>
      <c r="G697">
        <v>19474</v>
      </c>
      <c r="H697">
        <f>'Total Traffic'!D695-'Page Sessions'!D697</f>
        <v>67566</v>
      </c>
      <c r="I697" s="2">
        <f t="shared" si="702"/>
        <v>0.31061983602896609</v>
      </c>
      <c r="J697" s="2">
        <f t="shared" si="714"/>
        <v>-2.9709882930978093E-2</v>
      </c>
      <c r="K697" s="2">
        <f>D697/'Total Traffic'!D695</f>
        <v>0.4812989405803777</v>
      </c>
      <c r="L697" s="5">
        <f t="shared" si="703"/>
        <v>0.59549558171435868</v>
      </c>
      <c r="M697" s="5">
        <f t="shared" si="704"/>
        <v>0.6735951143729576</v>
      </c>
      <c r="N697" s="5">
        <f t="shared" si="705"/>
        <v>0.77437569588038813</v>
      </c>
      <c r="O697" s="5">
        <f t="shared" si="715"/>
        <v>-2.3131015224498452E-2</v>
      </c>
      <c r="P697" s="2">
        <f t="shared" ref="P697:R697" si="761">(L697/L690)-1</f>
        <v>2.5414233117588836E-3</v>
      </c>
      <c r="Q697" s="2">
        <f t="shared" si="761"/>
        <v>-1.3043109647181694E-2</v>
      </c>
      <c r="R697" s="2">
        <f t="shared" si="761"/>
        <v>-1.9379205250727782E-2</v>
      </c>
      <c r="S697" s="3"/>
    </row>
    <row r="698" spans="3:19" x14ac:dyDescent="0.25">
      <c r="C698" s="1">
        <f t="shared" si="707"/>
        <v>44160</v>
      </c>
      <c r="D698">
        <v>63267</v>
      </c>
      <c r="E698">
        <v>37909</v>
      </c>
      <c r="F698">
        <v>25592</v>
      </c>
      <c r="G698">
        <v>20386</v>
      </c>
      <c r="H698">
        <f>'Total Traffic'!D696-'Page Sessions'!D698</f>
        <v>67397</v>
      </c>
      <c r="I698" s="2">
        <f t="shared" si="702"/>
        <v>0.32222169535460826</v>
      </c>
      <c r="J698" s="2">
        <f t="shared" si="714"/>
        <v>1.4140410643644685E-2</v>
      </c>
      <c r="K698" s="2">
        <f>D698/'Total Traffic'!D696</f>
        <v>0.48419610604298047</v>
      </c>
      <c r="L698" s="5">
        <f t="shared" si="703"/>
        <v>0.59919073134493495</v>
      </c>
      <c r="M698" s="5">
        <f t="shared" si="704"/>
        <v>0.67509034793848421</v>
      </c>
      <c r="N698" s="5">
        <f t="shared" si="705"/>
        <v>0.79657705532979051</v>
      </c>
      <c r="O698" s="5">
        <f t="shared" si="715"/>
        <v>-4.1881769445573092E-4</v>
      </c>
      <c r="P698" s="2">
        <f t="shared" ref="P698:R698" si="762">(L698/L691)-1</f>
        <v>1.0951180998218124E-2</v>
      </c>
      <c r="Q698" s="2">
        <f t="shared" si="762"/>
        <v>-1.9900846432964303E-2</v>
      </c>
      <c r="R698" s="2">
        <f t="shared" si="762"/>
        <v>2.3523669517785173E-2</v>
      </c>
      <c r="S698" s="3"/>
    </row>
    <row r="699" spans="3:19" x14ac:dyDescent="0.25">
      <c r="C699" s="1">
        <f t="shared" si="707"/>
        <v>44161</v>
      </c>
      <c r="D699">
        <v>63192</v>
      </c>
      <c r="E699">
        <v>37694</v>
      </c>
      <c r="F699">
        <v>26374</v>
      </c>
      <c r="G699">
        <v>20956</v>
      </c>
      <c r="H699">
        <f>'Total Traffic'!D697-'Page Sessions'!D699</f>
        <v>67263</v>
      </c>
      <c r="I699" s="2">
        <f t="shared" si="702"/>
        <v>0.33162425623496644</v>
      </c>
      <c r="J699" s="2">
        <f t="shared" si="714"/>
        <v>6.3752594655618777E-2</v>
      </c>
      <c r="K699" s="2">
        <f>D699/'Total Traffic'!D697</f>
        <v>0.48439691847763594</v>
      </c>
      <c r="L699" s="5">
        <f t="shared" si="703"/>
        <v>0.59649955690593748</v>
      </c>
      <c r="M699" s="5">
        <f t="shared" si="704"/>
        <v>0.69968695283068927</v>
      </c>
      <c r="N699" s="5">
        <f t="shared" si="705"/>
        <v>0.7945704102525214</v>
      </c>
      <c r="O699" s="5">
        <f t="shared" si="715"/>
        <v>2.1309903973976141E-4</v>
      </c>
      <c r="P699" s="2">
        <f t="shared" ref="P699:R699" si="763">(L699/L692)-1</f>
        <v>1.9658190683267351E-2</v>
      </c>
      <c r="Q699" s="2">
        <f t="shared" si="763"/>
        <v>1.5815713691675004E-2</v>
      </c>
      <c r="R699" s="2">
        <f t="shared" si="763"/>
        <v>2.7001537020499899E-2</v>
      </c>
      <c r="S699" s="3"/>
    </row>
    <row r="700" spans="3:19" x14ac:dyDescent="0.25">
      <c r="C700" s="1">
        <f t="shared" si="707"/>
        <v>44162</v>
      </c>
      <c r="D700">
        <v>63557</v>
      </c>
      <c r="E700">
        <v>36360</v>
      </c>
      <c r="F700">
        <v>24535</v>
      </c>
      <c r="G700">
        <v>19605</v>
      </c>
      <c r="H700">
        <f>'Total Traffic'!D698-'Page Sessions'!D700</f>
        <v>66657</v>
      </c>
      <c r="I700" s="2">
        <f t="shared" si="702"/>
        <v>0.30846326919143446</v>
      </c>
      <c r="J700" s="2">
        <f t="shared" si="714"/>
        <v>1.1369777646463199</v>
      </c>
      <c r="K700" s="2">
        <f>D700/'Total Traffic'!D698</f>
        <v>0.48809651803953491</v>
      </c>
      <c r="L700" s="5">
        <f t="shared" si="703"/>
        <v>0.57208490016835278</v>
      </c>
      <c r="M700" s="5">
        <f t="shared" si="704"/>
        <v>0.67477997799779976</v>
      </c>
      <c r="N700" s="5">
        <f t="shared" si="705"/>
        <v>0.79906256368453232</v>
      </c>
      <c r="O700" s="5">
        <f t="shared" si="715"/>
        <v>7.2159233611215345E-3</v>
      </c>
      <c r="P700" s="2">
        <f t="shared" ref="P700:R700" si="764">(L700/L693)-1</f>
        <v>-4.3156604114723551E-2</v>
      </c>
      <c r="Q700" s="2">
        <f t="shared" si="764"/>
        <v>-2.3305968903326479E-2</v>
      </c>
      <c r="R700" s="2">
        <f t="shared" si="764"/>
        <v>1.2866547936417723</v>
      </c>
      <c r="S700" s="3"/>
    </row>
    <row r="701" spans="3:19" x14ac:dyDescent="0.25">
      <c r="C701" s="1">
        <f t="shared" si="707"/>
        <v>44163</v>
      </c>
      <c r="D701">
        <v>61449</v>
      </c>
      <c r="E701">
        <v>35032</v>
      </c>
      <c r="F701">
        <v>23541</v>
      </c>
      <c r="G701">
        <v>18832</v>
      </c>
      <c r="H701">
        <f>'Total Traffic'!D699-'Page Sessions'!D701</f>
        <v>69072</v>
      </c>
      <c r="I701" s="2">
        <f t="shared" si="702"/>
        <v>0.30646552425588702</v>
      </c>
      <c r="J701" s="2">
        <f t="shared" si="714"/>
        <v>-1.2350322433322347E-2</v>
      </c>
      <c r="K701" s="2">
        <f>D701/'Total Traffic'!D699</f>
        <v>0.47079780265244675</v>
      </c>
      <c r="L701" s="5">
        <f t="shared" si="703"/>
        <v>0.57009878110302847</v>
      </c>
      <c r="M701" s="5">
        <f t="shared" si="704"/>
        <v>0.6719856131536881</v>
      </c>
      <c r="N701" s="5">
        <f t="shared" si="705"/>
        <v>0.79996601673675716</v>
      </c>
      <c r="O701" s="5">
        <f t="shared" si="715"/>
        <v>-2.3435365682007325E-2</v>
      </c>
      <c r="P701" s="2">
        <f t="shared" ref="P701:R701" si="765">(L701/L694)-1</f>
        <v>-6.6157515979337056E-3</v>
      </c>
      <c r="Q701" s="2">
        <f t="shared" si="765"/>
        <v>-1.8688967209574137E-2</v>
      </c>
      <c r="R701" s="2">
        <f t="shared" si="765"/>
        <v>1.3162193008332546E-2</v>
      </c>
      <c r="S701" s="3"/>
    </row>
    <row r="702" spans="3:19" x14ac:dyDescent="0.25">
      <c r="C702" s="1">
        <f t="shared" si="707"/>
        <v>44164</v>
      </c>
      <c r="D702">
        <v>65164</v>
      </c>
      <c r="E702">
        <v>38609</v>
      </c>
      <c r="F702">
        <v>36588</v>
      </c>
      <c r="G702">
        <v>28608</v>
      </c>
      <c r="H702">
        <f>'Total Traffic'!D700-'Page Sessions'!D702</f>
        <v>65244</v>
      </c>
      <c r="I702" s="2">
        <f t="shared" si="702"/>
        <v>0.43901540728009331</v>
      </c>
      <c r="J702" s="2">
        <f t="shared" si="714"/>
        <v>0.44710769392262617</v>
      </c>
      <c r="K702" s="2">
        <f>D702/'Total Traffic'!D700</f>
        <v>0.49969327035151218</v>
      </c>
      <c r="L702" s="5">
        <f t="shared" si="703"/>
        <v>0.59248971824934016</v>
      </c>
      <c r="M702" s="5">
        <f t="shared" si="704"/>
        <v>0.94765469191121243</v>
      </c>
      <c r="N702" s="5">
        <f t="shared" si="705"/>
        <v>0.78189570350934734</v>
      </c>
      <c r="O702" s="5">
        <f t="shared" si="715"/>
        <v>4.517768583124715E-2</v>
      </c>
      <c r="P702" s="2">
        <f t="shared" ref="P702:R702" si="766">(L702/L695)-1</f>
        <v>3.6728331153343063E-2</v>
      </c>
      <c r="Q702" s="2">
        <f t="shared" si="766"/>
        <v>0.3792184706085735</v>
      </c>
      <c r="R702" s="2">
        <f t="shared" si="766"/>
        <v>1.2051985131483312E-2</v>
      </c>
      <c r="S702" s="3"/>
    </row>
    <row r="703" spans="3:19" x14ac:dyDescent="0.25">
      <c r="C703" s="1">
        <f t="shared" si="707"/>
        <v>44165</v>
      </c>
      <c r="D703">
        <v>61591</v>
      </c>
      <c r="E703">
        <v>35297</v>
      </c>
      <c r="F703">
        <v>24545</v>
      </c>
      <c r="G703">
        <v>19628</v>
      </c>
      <c r="H703">
        <f>'Total Traffic'!D701-'Page Sessions'!D703</f>
        <v>68761</v>
      </c>
      <c r="I703" s="2">
        <f t="shared" si="702"/>
        <v>0.31868292445324803</v>
      </c>
      <c r="J703" s="2">
        <f t="shared" si="714"/>
        <v>1.5988689008955115E-2</v>
      </c>
      <c r="K703" s="2">
        <f>D703/'Total Traffic'!D701</f>
        <v>0.47249754510862896</v>
      </c>
      <c r="L703" s="5">
        <f t="shared" si="703"/>
        <v>0.57308697699339184</v>
      </c>
      <c r="M703" s="5">
        <f t="shared" si="704"/>
        <v>0.69538487690171968</v>
      </c>
      <c r="N703" s="5">
        <f t="shared" si="705"/>
        <v>0.79967406803829699</v>
      </c>
      <c r="O703" s="5">
        <f t="shared" si="715"/>
        <v>-4.0798495364381959E-2</v>
      </c>
      <c r="P703" s="2">
        <f t="shared" ref="P703:R703" si="767">(L703/L696)-1</f>
        <v>-4.2758439260764725E-2</v>
      </c>
      <c r="Q703" s="2">
        <f t="shared" si="767"/>
        <v>2.2781291288773708E-2</v>
      </c>
      <c r="R703" s="2">
        <f t="shared" si="767"/>
        <v>3.7730428724604748E-2</v>
      </c>
      <c r="S703" s="3"/>
    </row>
    <row r="704" spans="3:19" x14ac:dyDescent="0.25">
      <c r="C704" s="1">
        <f t="shared" si="707"/>
        <v>44166</v>
      </c>
      <c r="D704">
        <v>64230</v>
      </c>
      <c r="E704">
        <v>37413</v>
      </c>
      <c r="F704">
        <v>25291</v>
      </c>
      <c r="G704">
        <v>19886</v>
      </c>
      <c r="H704">
        <f>'Total Traffic'!D702-'Page Sessions'!D704</f>
        <v>65924</v>
      </c>
      <c r="I704" s="2">
        <f t="shared" si="702"/>
        <v>0.30960610306710262</v>
      </c>
      <c r="J704" s="2">
        <f t="shared" si="714"/>
        <v>-3.263580893040352E-3</v>
      </c>
      <c r="K704" s="2">
        <f>D704/'Total Traffic'!D702</f>
        <v>0.49349232447715785</v>
      </c>
      <c r="L704" s="5">
        <f t="shared" si="703"/>
        <v>0.58248482017748715</v>
      </c>
      <c r="M704" s="5">
        <f t="shared" si="704"/>
        <v>0.67599497500868677</v>
      </c>
      <c r="N704" s="5">
        <f t="shared" si="705"/>
        <v>0.78628761219406118</v>
      </c>
      <c r="O704" s="5">
        <f t="shared" si="715"/>
        <v>2.5334325236778366E-2</v>
      </c>
      <c r="P704" s="2">
        <f t="shared" ref="P704:R704" si="768">(L704/L697)-1</f>
        <v>-2.1848628161799555E-2</v>
      </c>
      <c r="Q704" s="2">
        <f t="shared" si="768"/>
        <v>3.5627643142321919E-3</v>
      </c>
      <c r="R704" s="2">
        <f t="shared" si="768"/>
        <v>1.5382606113600206E-2</v>
      </c>
      <c r="S704" s="3"/>
    </row>
    <row r="705" spans="3:19" x14ac:dyDescent="0.25">
      <c r="C705" s="1">
        <f t="shared" si="707"/>
        <v>44167</v>
      </c>
      <c r="D705">
        <v>64432</v>
      </c>
      <c r="E705">
        <v>37950</v>
      </c>
      <c r="F705">
        <v>26458</v>
      </c>
      <c r="G705">
        <v>20819</v>
      </c>
      <c r="H705">
        <f>'Total Traffic'!D703-'Page Sessions'!D705</f>
        <v>66343</v>
      </c>
      <c r="I705" s="2">
        <f t="shared" si="702"/>
        <v>0.32311584305934937</v>
      </c>
      <c r="J705" s="2">
        <f t="shared" si="714"/>
        <v>2.7749456899761604E-3</v>
      </c>
      <c r="K705" s="2">
        <f>D705/'Total Traffic'!D703</f>
        <v>0.49269355763716305</v>
      </c>
      <c r="L705" s="5">
        <f t="shared" si="703"/>
        <v>0.58899304693320087</v>
      </c>
      <c r="M705" s="5">
        <f t="shared" si="704"/>
        <v>0.69718050065876158</v>
      </c>
      <c r="N705" s="5">
        <f t="shared" si="705"/>
        <v>0.78686975583944363</v>
      </c>
      <c r="O705" s="5">
        <f t="shared" si="715"/>
        <v>1.7549607458900773E-2</v>
      </c>
      <c r="P705" s="2">
        <f t="shared" ref="P705:R705" si="769">(L705/L698)-1</f>
        <v>-1.7019095720730681E-2</v>
      </c>
      <c r="Q705" s="2">
        <f t="shared" si="769"/>
        <v>3.272177240829155E-2</v>
      </c>
      <c r="R705" s="2">
        <f t="shared" si="769"/>
        <v>-1.2186265503627891E-2</v>
      </c>
      <c r="S705" s="3"/>
    </row>
    <row r="706" spans="3:19" x14ac:dyDescent="0.25">
      <c r="C706" s="1">
        <f t="shared" si="707"/>
        <v>44168</v>
      </c>
      <c r="D706">
        <v>63634</v>
      </c>
      <c r="E706">
        <v>37454</v>
      </c>
      <c r="F706">
        <v>26075</v>
      </c>
      <c r="G706">
        <v>20296</v>
      </c>
      <c r="H706">
        <f>'Total Traffic'!D704-'Page Sessions'!D706</f>
        <v>67085</v>
      </c>
      <c r="I706" s="2">
        <f t="shared" si="702"/>
        <v>0.318948989533897</v>
      </c>
      <c r="J706" s="2">
        <f t="shared" si="714"/>
        <v>-3.8221771968599882E-2</v>
      </c>
      <c r="K706" s="2">
        <f>D706/'Total Traffic'!D704</f>
        <v>0.48679992962002461</v>
      </c>
      <c r="L706" s="5">
        <f t="shared" si="703"/>
        <v>0.58858471886098629</v>
      </c>
      <c r="M706" s="5">
        <f t="shared" si="704"/>
        <v>0.69618732311635612</v>
      </c>
      <c r="N706" s="5">
        <f t="shared" si="705"/>
        <v>0.7783700862895494</v>
      </c>
      <c r="O706" s="5">
        <f t="shared" si="715"/>
        <v>4.9608307789010819E-3</v>
      </c>
      <c r="P706" s="2">
        <f t="shared" ref="P706:R706" si="770">(L706/L699)-1</f>
        <v>-1.3268807920001957E-2</v>
      </c>
      <c r="Q706" s="2">
        <f t="shared" si="770"/>
        <v>-5.0017078354468447E-3</v>
      </c>
      <c r="R706" s="2">
        <f t="shared" si="770"/>
        <v>-2.0388783365118512E-2</v>
      </c>
      <c r="S706" s="3"/>
    </row>
    <row r="707" spans="3:19" x14ac:dyDescent="0.25">
      <c r="C707" s="1">
        <f t="shared" si="707"/>
        <v>44169</v>
      </c>
      <c r="D707">
        <v>62555</v>
      </c>
      <c r="E707">
        <v>36087</v>
      </c>
      <c r="F707">
        <v>25116</v>
      </c>
      <c r="G707">
        <v>19957</v>
      </c>
      <c r="H707">
        <f>'Total Traffic'!D705-'Page Sessions'!D707</f>
        <v>68396</v>
      </c>
      <c r="I707" s="2">
        <f t="shared" si="702"/>
        <v>0.31903125249780195</v>
      </c>
      <c r="J707" s="2">
        <f t="shared" si="714"/>
        <v>3.4260102780045765E-2</v>
      </c>
      <c r="K707" s="2">
        <f>D707/'Total Traffic'!D705</f>
        <v>0.47769776481279258</v>
      </c>
      <c r="L707" s="5">
        <f t="shared" si="703"/>
        <v>0.57688434177923431</v>
      </c>
      <c r="M707" s="5">
        <f t="shared" si="704"/>
        <v>0.69598470363288722</v>
      </c>
      <c r="N707" s="5">
        <f t="shared" si="705"/>
        <v>0.79459308807134899</v>
      </c>
      <c r="O707" s="5">
        <f t="shared" si="715"/>
        <v>-2.1304706840584497E-2</v>
      </c>
      <c r="P707" s="2">
        <f t="shared" ref="P707:R707" si="771">(L707/L700)-1</f>
        <v>8.389386976424662E-3</v>
      </c>
      <c r="Q707" s="2">
        <f t="shared" si="771"/>
        <v>3.1424651481221977E-2</v>
      </c>
      <c r="R707" s="2">
        <f t="shared" si="771"/>
        <v>-5.5933988354732733E-3</v>
      </c>
      <c r="S707" s="3"/>
    </row>
    <row r="708" spans="3:19" x14ac:dyDescent="0.25">
      <c r="C708" s="1">
        <f t="shared" si="707"/>
        <v>44170</v>
      </c>
      <c r="D708">
        <v>63723</v>
      </c>
      <c r="E708">
        <v>36481</v>
      </c>
      <c r="F708">
        <v>24869</v>
      </c>
      <c r="G708">
        <v>19653</v>
      </c>
      <c r="H708">
        <f>'Total Traffic'!D706-'Page Sessions'!D708</f>
        <v>67233</v>
      </c>
      <c r="I708" s="2">
        <f t="shared" si="702"/>
        <v>0.30841297490701947</v>
      </c>
      <c r="J708" s="2">
        <f t="shared" si="714"/>
        <v>6.3545505024127369E-3</v>
      </c>
      <c r="K708" s="2">
        <f>D708/'Total Traffic'!D706</f>
        <v>0.48659855218546688</v>
      </c>
      <c r="L708" s="5">
        <f t="shared" si="703"/>
        <v>0.57249344820551451</v>
      </c>
      <c r="M708" s="5">
        <f t="shared" si="704"/>
        <v>0.68169732189358845</v>
      </c>
      <c r="N708" s="5">
        <f t="shared" si="705"/>
        <v>0.79026096746954044</v>
      </c>
      <c r="O708" s="5">
        <f t="shared" si="715"/>
        <v>3.356164672817008E-2</v>
      </c>
      <c r="P708" s="2">
        <f t="shared" ref="P708:R708" si="772">(L708/L701)-1</f>
        <v>4.2004424178083699E-3</v>
      </c>
      <c r="Q708" s="2">
        <f t="shared" si="772"/>
        <v>1.4452256937946162E-2</v>
      </c>
      <c r="R708" s="2">
        <f t="shared" si="772"/>
        <v>-1.2131826932856193E-2</v>
      </c>
      <c r="S708" s="3"/>
    </row>
    <row r="709" spans="3:19" x14ac:dyDescent="0.25">
      <c r="C709" s="1">
        <f t="shared" si="707"/>
        <v>44171</v>
      </c>
      <c r="D709">
        <v>35456</v>
      </c>
      <c r="E709">
        <v>21071</v>
      </c>
      <c r="F709">
        <v>14686</v>
      </c>
      <c r="G709">
        <v>11490</v>
      </c>
      <c r="H709">
        <f>'Total Traffic'!D707-'Page Sessions'!D709</f>
        <v>37590</v>
      </c>
      <c r="I709" s="2">
        <f t="shared" ref="I709:I772" si="773">G709/D709</f>
        <v>0.32406362815884476</v>
      </c>
      <c r="J709" s="2">
        <f t="shared" si="714"/>
        <v>-0.26183996555708333</v>
      </c>
      <c r="K709" s="2">
        <f>D709/'Total Traffic'!D707</f>
        <v>0.48539276620211919</v>
      </c>
      <c r="L709" s="5">
        <f t="shared" ref="L709:L772" si="774">E709/D709</f>
        <v>0.59428587545126355</v>
      </c>
      <c r="M709" s="5">
        <f t="shared" ref="M709:M772" si="775">F709/E709</f>
        <v>0.6969768876655118</v>
      </c>
      <c r="N709" s="5">
        <f t="shared" ref="N709:N772" si="776">G709/F709</f>
        <v>0.78237777475146397</v>
      </c>
      <c r="O709" s="5">
        <f t="shared" si="715"/>
        <v>-2.8618564623320242E-2</v>
      </c>
      <c r="P709" s="2">
        <f t="shared" ref="P709:R709" si="777">(L709/L702)-1</f>
        <v>3.0315415552366609E-3</v>
      </c>
      <c r="Q709" s="2">
        <f t="shared" si="777"/>
        <v>-0.26452441631470036</v>
      </c>
      <c r="R709" s="2">
        <f t="shared" si="777"/>
        <v>6.165416179586547E-4</v>
      </c>
      <c r="S709" s="3"/>
    </row>
    <row r="710" spans="3:19" x14ac:dyDescent="0.25">
      <c r="C710" s="1">
        <f t="shared" ref="C710:C773" si="778">C709+1</f>
        <v>44172</v>
      </c>
      <c r="D710">
        <v>63155</v>
      </c>
      <c r="E710">
        <v>36604</v>
      </c>
      <c r="F710">
        <v>25048</v>
      </c>
      <c r="G710">
        <v>19905</v>
      </c>
      <c r="H710">
        <f>'Total Traffic'!D708-'Page Sessions'!D710</f>
        <v>67710</v>
      </c>
      <c r="I710" s="2">
        <f t="shared" si="773"/>
        <v>0.31517694561000714</v>
      </c>
      <c r="J710" s="2">
        <f t="shared" si="714"/>
        <v>-1.1001464384249537E-2</v>
      </c>
      <c r="K710" s="2">
        <f>D710/'Total Traffic'!D708</f>
        <v>0.48259656898330339</v>
      </c>
      <c r="L710" s="5">
        <f t="shared" si="774"/>
        <v>0.579589897870319</v>
      </c>
      <c r="M710" s="5">
        <f t="shared" si="775"/>
        <v>0.68429679816413502</v>
      </c>
      <c r="N710" s="5">
        <f t="shared" si="776"/>
        <v>0.79467422548706479</v>
      </c>
      <c r="O710" s="5">
        <f t="shared" si="715"/>
        <v>2.1373706549845828E-2</v>
      </c>
      <c r="P710" s="2">
        <f t="shared" ref="P710:R710" si="779">(L710/L703)-1</f>
        <v>1.1347179639369376E-2</v>
      </c>
      <c r="Q710" s="2">
        <f t="shared" si="779"/>
        <v>-1.5945239975576508E-2</v>
      </c>
      <c r="R710" s="2">
        <f t="shared" si="779"/>
        <v>-6.2523504901158544E-3</v>
      </c>
      <c r="S710" s="3"/>
    </row>
    <row r="711" spans="3:19" x14ac:dyDescent="0.25">
      <c r="C711" s="1">
        <f t="shared" si="778"/>
        <v>44173</v>
      </c>
      <c r="D711">
        <v>63342</v>
      </c>
      <c r="E711">
        <v>36757</v>
      </c>
      <c r="F711">
        <v>25060</v>
      </c>
      <c r="G711">
        <v>19509</v>
      </c>
      <c r="H711">
        <f>'Total Traffic'!D709-'Page Sessions'!D711</f>
        <v>67047</v>
      </c>
      <c r="I711" s="2">
        <f t="shared" si="773"/>
        <v>0.30799469546272618</v>
      </c>
      <c r="J711" s="2">
        <f t="shared" si="714"/>
        <v>-5.2047023247058233E-3</v>
      </c>
      <c r="K711" s="2">
        <f>D711/'Total Traffic'!D709</f>
        <v>0.48579251317212341</v>
      </c>
      <c r="L711" s="5">
        <f t="shared" si="774"/>
        <v>0.58029427552019197</v>
      </c>
      <c r="M711" s="5">
        <f t="shared" si="775"/>
        <v>0.68177490001904395</v>
      </c>
      <c r="N711" s="5">
        <f t="shared" si="776"/>
        <v>0.7784916201117319</v>
      </c>
      <c r="O711" s="5">
        <f t="shared" si="715"/>
        <v>-1.560269719127283E-2</v>
      </c>
      <c r="P711" s="2">
        <f t="shared" ref="P711:R711" si="780">(L711/L704)-1</f>
        <v>-3.7606896890939323E-3</v>
      </c>
      <c r="Q711" s="2">
        <f t="shared" si="780"/>
        <v>8.5502484841442072E-3</v>
      </c>
      <c r="R711" s="2">
        <f t="shared" si="780"/>
        <v>-9.9149369282002242E-3</v>
      </c>
      <c r="S711" s="3"/>
    </row>
    <row r="712" spans="3:19" x14ac:dyDescent="0.25">
      <c r="C712" s="1">
        <f t="shared" si="778"/>
        <v>44174</v>
      </c>
      <c r="D712">
        <v>62003</v>
      </c>
      <c r="E712">
        <v>36253</v>
      </c>
      <c r="F712">
        <v>25097</v>
      </c>
      <c r="G712">
        <v>20034</v>
      </c>
      <c r="H712">
        <f>'Total Traffic'!D710-'Page Sessions'!D712</f>
        <v>68696</v>
      </c>
      <c r="I712" s="2">
        <f t="shared" si="773"/>
        <v>0.32311339773881909</v>
      </c>
      <c r="J712" s="2">
        <f t="shared" si="714"/>
        <v>-7.5679375766135593E-6</v>
      </c>
      <c r="K712" s="2">
        <f>D712/'Total Traffic'!D710</f>
        <v>0.47439536645268898</v>
      </c>
      <c r="L712" s="5">
        <f t="shared" si="774"/>
        <v>0.58469751463638853</v>
      </c>
      <c r="M712" s="5">
        <f t="shared" si="775"/>
        <v>0.69227374286265964</v>
      </c>
      <c r="N712" s="5">
        <f t="shared" si="776"/>
        <v>0.79826274056660163</v>
      </c>
      <c r="O712" s="5">
        <f t="shared" si="715"/>
        <v>-3.713909163380924E-2</v>
      </c>
      <c r="P712" s="2">
        <f t="shared" ref="P712:R712" si="781">(L712/L705)-1</f>
        <v>-7.2930101962638272E-3</v>
      </c>
      <c r="Q712" s="2">
        <f t="shared" si="781"/>
        <v>-7.0380020546552124E-3</v>
      </c>
      <c r="R712" s="2">
        <f t="shared" si="781"/>
        <v>1.4478869778142389E-2</v>
      </c>
      <c r="S712" s="3"/>
    </row>
    <row r="713" spans="3:19" x14ac:dyDescent="0.25">
      <c r="C713" s="1">
        <f t="shared" si="778"/>
        <v>44175</v>
      </c>
      <c r="D713">
        <v>61843</v>
      </c>
      <c r="E713">
        <v>35368</v>
      </c>
      <c r="F713">
        <v>23792</v>
      </c>
      <c r="G713">
        <v>18740</v>
      </c>
      <c r="H713">
        <f>'Total Traffic'!D711-'Page Sessions'!D713</f>
        <v>68381</v>
      </c>
      <c r="I713" s="2">
        <f t="shared" si="773"/>
        <v>0.30302540303672204</v>
      </c>
      <c r="J713" s="2">
        <f t="shared" si="714"/>
        <v>-4.9925182457687733E-2</v>
      </c>
      <c r="K713" s="2">
        <f>D713/'Total Traffic'!D711</f>
        <v>0.47489710038088218</v>
      </c>
      <c r="L713" s="5">
        <f t="shared" si="774"/>
        <v>0.57189981081124786</v>
      </c>
      <c r="M713" s="5">
        <f t="shared" si="775"/>
        <v>0.67269848450576797</v>
      </c>
      <c r="N713" s="5">
        <f t="shared" si="776"/>
        <v>0.78765971755211839</v>
      </c>
      <c r="O713" s="5">
        <f t="shared" si="715"/>
        <v>-2.4451172884172867E-2</v>
      </c>
      <c r="P713" s="2">
        <f t="shared" ref="P713:R713" si="782">(L713/L706)-1</f>
        <v>-2.8347504641348165E-2</v>
      </c>
      <c r="Q713" s="2">
        <f t="shared" si="782"/>
        <v>-3.3739250673862631E-2</v>
      </c>
      <c r="R713" s="2">
        <f t="shared" si="782"/>
        <v>1.1934722860242664E-2</v>
      </c>
      <c r="S713" s="3"/>
    </row>
    <row r="714" spans="3:19" x14ac:dyDescent="0.25">
      <c r="C714" s="1">
        <f t="shared" si="778"/>
        <v>44176</v>
      </c>
      <c r="D714">
        <v>64044</v>
      </c>
      <c r="E714">
        <v>36594</v>
      </c>
      <c r="F714">
        <v>25059</v>
      </c>
      <c r="G714">
        <v>19398</v>
      </c>
      <c r="H714">
        <f>'Total Traffic'!D712-'Page Sessions'!D714</f>
        <v>66472</v>
      </c>
      <c r="I714" s="2">
        <f t="shared" si="773"/>
        <v>0.30288551620760729</v>
      </c>
      <c r="J714" s="2">
        <f t="shared" si="714"/>
        <v>-5.0608635247438416E-2</v>
      </c>
      <c r="K714" s="2">
        <f>D714/'Total Traffic'!D712</f>
        <v>0.49069845842655307</v>
      </c>
      <c r="L714" s="5">
        <f t="shared" si="774"/>
        <v>0.57138842046093308</v>
      </c>
      <c r="M714" s="5">
        <f t="shared" si="775"/>
        <v>0.68478439088375143</v>
      </c>
      <c r="N714" s="5">
        <f t="shared" si="776"/>
        <v>0.77409314018915365</v>
      </c>
      <c r="O714" s="5">
        <f t="shared" si="715"/>
        <v>2.7215311796268127E-2</v>
      </c>
      <c r="P714" s="2">
        <f t="shared" ref="P714:R714" si="783">(L714/L707)-1</f>
        <v>-9.5269032634004436E-3</v>
      </c>
      <c r="Q714" s="2">
        <f t="shared" si="783"/>
        <v>-1.6092757054390172E-2</v>
      </c>
      <c r="R714" s="2">
        <f t="shared" si="783"/>
        <v>-2.5799303052022715E-2</v>
      </c>
      <c r="S714" s="3"/>
    </row>
    <row r="715" spans="3:19" x14ac:dyDescent="0.25">
      <c r="C715" s="1">
        <f t="shared" si="778"/>
        <v>44177</v>
      </c>
      <c r="D715">
        <v>63850</v>
      </c>
      <c r="E715">
        <v>37990</v>
      </c>
      <c r="F715">
        <v>26490</v>
      </c>
      <c r="G715">
        <v>20519</v>
      </c>
      <c r="H715">
        <f>'Total Traffic'!D713-'Page Sessions'!D715</f>
        <v>66219</v>
      </c>
      <c r="I715" s="2">
        <f t="shared" si="773"/>
        <v>0.32136256851996869</v>
      </c>
      <c r="J715" s="2">
        <f t="shared" si="714"/>
        <v>4.1987836655877686E-2</v>
      </c>
      <c r="K715" s="2">
        <f>D715/'Total Traffic'!D713</f>
        <v>0.49089329509721763</v>
      </c>
      <c r="L715" s="5">
        <f t="shared" si="774"/>
        <v>0.59498825371965547</v>
      </c>
      <c r="M715" s="5">
        <f t="shared" si="775"/>
        <v>0.69728876020005259</v>
      </c>
      <c r="N715" s="5">
        <f t="shared" si="776"/>
        <v>0.77459418648546619</v>
      </c>
      <c r="O715" s="5">
        <f t="shared" si="715"/>
        <v>8.8260495072616241E-3</v>
      </c>
      <c r="P715" s="2">
        <f t="shared" ref="P715:R715" si="784">(L715/L708)-1</f>
        <v>3.9292686378597175E-2</v>
      </c>
      <c r="Q715" s="2">
        <f t="shared" si="784"/>
        <v>2.2871497079018699E-2</v>
      </c>
      <c r="R715" s="2">
        <f t="shared" si="784"/>
        <v>-1.9824819431788709E-2</v>
      </c>
      <c r="S715" s="3"/>
    </row>
    <row r="716" spans="3:19" x14ac:dyDescent="0.25">
      <c r="C716" s="1">
        <f t="shared" si="778"/>
        <v>44178</v>
      </c>
      <c r="D716">
        <v>62593</v>
      </c>
      <c r="E716">
        <v>36291</v>
      </c>
      <c r="F716">
        <v>24648</v>
      </c>
      <c r="G716">
        <v>19173</v>
      </c>
      <c r="H716">
        <f>'Total Traffic'!D714-'Page Sessions'!D716</f>
        <v>68411</v>
      </c>
      <c r="I716" s="2">
        <f t="shared" si="773"/>
        <v>0.30631220743533621</v>
      </c>
      <c r="J716" s="2">
        <f t="shared" ref="J716:J779" si="785">(I716/I709)-1</f>
        <v>-5.4777578169949437E-2</v>
      </c>
      <c r="K716" s="2">
        <f>D716/'Total Traffic'!D714</f>
        <v>0.47779457115813256</v>
      </c>
      <c r="L716" s="5">
        <f t="shared" si="774"/>
        <v>0.57979326761778471</v>
      </c>
      <c r="M716" s="5">
        <f t="shared" si="775"/>
        <v>0.67917665536909977</v>
      </c>
      <c r="N716" s="5">
        <f t="shared" si="776"/>
        <v>0.77787244401168454</v>
      </c>
      <c r="O716" s="5">
        <f t="shared" ref="O716:O779" si="786">(K716/K709)-1</f>
        <v>-1.5653704737789043E-2</v>
      </c>
      <c r="P716" s="2">
        <f t="shared" ref="P716:R716" si="787">(L716/L709)-1</f>
        <v>-2.4386593106346388E-2</v>
      </c>
      <c r="Q716" s="2">
        <f t="shared" si="787"/>
        <v>-2.5539200239527271E-2</v>
      </c>
      <c r="R716" s="2">
        <f t="shared" si="787"/>
        <v>-5.7585106391994101E-3</v>
      </c>
      <c r="S716" s="3"/>
    </row>
    <row r="717" spans="3:19" x14ac:dyDescent="0.25">
      <c r="C717" s="1">
        <f t="shared" si="778"/>
        <v>44179</v>
      </c>
      <c r="D717">
        <v>64225</v>
      </c>
      <c r="E717">
        <v>37976</v>
      </c>
      <c r="F717">
        <v>25447</v>
      </c>
      <c r="G717">
        <v>20263</v>
      </c>
      <c r="H717">
        <f>'Total Traffic'!D715-'Page Sessions'!D717</f>
        <v>65866</v>
      </c>
      <c r="I717" s="2">
        <f t="shared" si="773"/>
        <v>0.31550019462826001</v>
      </c>
      <c r="J717" s="2">
        <f t="shared" si="785"/>
        <v>1.0256112407818208E-3</v>
      </c>
      <c r="K717" s="2">
        <f>D717/'Total Traffic'!D715</f>
        <v>0.49369287652489413</v>
      </c>
      <c r="L717" s="5">
        <f t="shared" si="774"/>
        <v>0.59129622421175554</v>
      </c>
      <c r="M717" s="5">
        <f t="shared" si="775"/>
        <v>0.67008110385506636</v>
      </c>
      <c r="N717" s="5">
        <f t="shared" si="776"/>
        <v>0.7962824694463001</v>
      </c>
      <c r="O717" s="5">
        <f t="shared" si="786"/>
        <v>2.2992926710953654E-2</v>
      </c>
      <c r="P717" s="2">
        <f t="shared" ref="P717:R717" si="788">(L717/L710)-1</f>
        <v>2.0197602450372276E-2</v>
      </c>
      <c r="Q717" s="2">
        <f t="shared" si="788"/>
        <v>-2.0774164583565513E-2</v>
      </c>
      <c r="R717" s="2">
        <f t="shared" si="788"/>
        <v>2.0237776785192452E-3</v>
      </c>
      <c r="S717" s="3"/>
    </row>
    <row r="718" spans="3:19" x14ac:dyDescent="0.25">
      <c r="C718" s="1">
        <f t="shared" si="778"/>
        <v>44180</v>
      </c>
      <c r="D718">
        <v>61625</v>
      </c>
      <c r="E718">
        <v>36605</v>
      </c>
      <c r="F718">
        <v>25078</v>
      </c>
      <c r="G718">
        <v>19500</v>
      </c>
      <c r="H718">
        <f>'Total Traffic'!D716-'Page Sessions'!D718</f>
        <v>69353</v>
      </c>
      <c r="I718" s="2">
        <f t="shared" si="773"/>
        <v>0.31643002028397565</v>
      </c>
      <c r="J718" s="2">
        <f t="shared" si="785"/>
        <v>2.7387889939391341E-2</v>
      </c>
      <c r="K718" s="2">
        <f>D718/'Total Traffic'!D716</f>
        <v>0.47049886240437327</v>
      </c>
      <c r="L718" s="5">
        <f t="shared" si="774"/>
        <v>0.59399594320486815</v>
      </c>
      <c r="M718" s="5">
        <f t="shared" si="775"/>
        <v>0.68509766425351726</v>
      </c>
      <c r="N718" s="5">
        <f t="shared" si="776"/>
        <v>0.77757396921604593</v>
      </c>
      <c r="O718" s="5">
        <f t="shared" si="786"/>
        <v>-3.1481857692465809E-2</v>
      </c>
      <c r="P718" s="2">
        <f t="shared" ref="P718:R718" si="789">(L718/L711)-1</f>
        <v>2.3611585126173562E-2</v>
      </c>
      <c r="Q718" s="2">
        <f t="shared" si="789"/>
        <v>4.8736969260390062E-3</v>
      </c>
      <c r="R718" s="2">
        <f t="shared" si="789"/>
        <v>-1.1787550077343445E-3</v>
      </c>
      <c r="S718" s="3"/>
    </row>
    <row r="719" spans="3:19" x14ac:dyDescent="0.25">
      <c r="C719" s="1">
        <f t="shared" si="778"/>
        <v>44181</v>
      </c>
      <c r="D719">
        <v>61787</v>
      </c>
      <c r="E719">
        <v>36800</v>
      </c>
      <c r="F719">
        <v>25005</v>
      </c>
      <c r="G719">
        <v>19651</v>
      </c>
      <c r="H719">
        <f>'Total Traffic'!D717-'Page Sessions'!D719</f>
        <v>69201</v>
      </c>
      <c r="I719" s="2">
        <f t="shared" si="773"/>
        <v>0.3180442487901986</v>
      </c>
      <c r="J719" s="2">
        <f t="shared" si="785"/>
        <v>-1.5688451745099141E-2</v>
      </c>
      <c r="K719" s="2">
        <f>D719/'Total Traffic'!D717</f>
        <v>0.47169969768223041</v>
      </c>
      <c r="L719" s="5">
        <f t="shared" si="774"/>
        <v>0.59559454254131128</v>
      </c>
      <c r="M719" s="5">
        <f t="shared" si="775"/>
        <v>0.67948369565217392</v>
      </c>
      <c r="N719" s="5">
        <f t="shared" si="776"/>
        <v>0.7858828234353129</v>
      </c>
      <c r="O719" s="5">
        <f t="shared" si="786"/>
        <v>-5.6823252524904611E-3</v>
      </c>
      <c r="P719" s="2">
        <f t="shared" ref="P719:R719" si="790">(L719/L712)-1</f>
        <v>1.8637034760955684E-2</v>
      </c>
      <c r="Q719" s="2">
        <f t="shared" si="790"/>
        <v>-1.847541863655966E-2</v>
      </c>
      <c r="R719" s="2">
        <f t="shared" si="790"/>
        <v>-1.5508574435657008E-2</v>
      </c>
      <c r="S719" s="3"/>
    </row>
    <row r="720" spans="3:19" x14ac:dyDescent="0.25">
      <c r="C720" s="1">
        <f t="shared" si="778"/>
        <v>44182</v>
      </c>
      <c r="D720">
        <v>64289</v>
      </c>
      <c r="E720">
        <v>37480</v>
      </c>
      <c r="F720">
        <v>25325</v>
      </c>
      <c r="G720">
        <v>19951</v>
      </c>
      <c r="H720">
        <f>'Total Traffic'!D718-'Page Sessions'!D720</f>
        <v>66407</v>
      </c>
      <c r="I720" s="2">
        <f t="shared" si="773"/>
        <v>0.31033302742304281</v>
      </c>
      <c r="J720" s="2">
        <f t="shared" si="785"/>
        <v>2.4115550422798115E-2</v>
      </c>
      <c r="K720" s="2">
        <f>D720/'Total Traffic'!D718</f>
        <v>0.49189722715308809</v>
      </c>
      <c r="L720" s="5">
        <f t="shared" si="774"/>
        <v>0.58299242483161973</v>
      </c>
      <c r="M720" s="5">
        <f t="shared" si="775"/>
        <v>0.67569370330843115</v>
      </c>
      <c r="N720" s="5">
        <f t="shared" si="776"/>
        <v>0.78779861796643635</v>
      </c>
      <c r="O720" s="5">
        <f t="shared" si="786"/>
        <v>3.579749541231414E-2</v>
      </c>
      <c r="P720" s="2">
        <f t="shared" ref="P720:R720" si="791">(L720/L713)-1</f>
        <v>1.9396079191977389E-2</v>
      </c>
      <c r="Q720" s="2">
        <f t="shared" si="791"/>
        <v>4.4525428132393685E-3</v>
      </c>
      <c r="R720" s="2">
        <f t="shared" si="791"/>
        <v>1.763457127776924E-4</v>
      </c>
      <c r="S720" s="3"/>
    </row>
    <row r="721" spans="3:19" x14ac:dyDescent="0.25">
      <c r="C721" s="1">
        <f t="shared" si="778"/>
        <v>44183</v>
      </c>
      <c r="D721">
        <v>61517</v>
      </c>
      <c r="E721">
        <v>36208</v>
      </c>
      <c r="F721">
        <v>25236</v>
      </c>
      <c r="G721">
        <v>8819</v>
      </c>
      <c r="H721">
        <f>'Total Traffic'!D719-'Page Sessions'!D721</f>
        <v>69037</v>
      </c>
      <c r="I721" s="2">
        <f t="shared" si="773"/>
        <v>0.14335874636279403</v>
      </c>
      <c r="J721" s="2">
        <f t="shared" si="785"/>
        <v>-0.52668999113007631</v>
      </c>
      <c r="K721" s="2">
        <f>D721/'Total Traffic'!D719</f>
        <v>0.47119965684697518</v>
      </c>
      <c r="L721" s="5">
        <f t="shared" si="774"/>
        <v>0.588585269112603</v>
      </c>
      <c r="M721" s="5">
        <f t="shared" si="775"/>
        <v>0.69697304463102072</v>
      </c>
      <c r="N721" s="5">
        <f t="shared" si="776"/>
        <v>0.34946108733555237</v>
      </c>
      <c r="O721" s="5">
        <f t="shared" si="786"/>
        <v>-3.9736830725129457E-2</v>
      </c>
      <c r="P721" s="2">
        <f t="shared" ref="P721:R721" si="792">(L721/L714)-1</f>
        <v>3.0096599853734141E-2</v>
      </c>
      <c r="Q721" s="2">
        <f t="shared" si="792"/>
        <v>1.7799257561258441E-2</v>
      </c>
      <c r="R721" s="2">
        <f t="shared" si="792"/>
        <v>-0.54855421241666114</v>
      </c>
      <c r="S721" s="3"/>
    </row>
    <row r="722" spans="3:19" x14ac:dyDescent="0.25">
      <c r="C722" s="1">
        <f t="shared" si="778"/>
        <v>44184</v>
      </c>
      <c r="D722">
        <v>65043</v>
      </c>
      <c r="E722">
        <v>37692</v>
      </c>
      <c r="F722">
        <v>25607</v>
      </c>
      <c r="G722">
        <v>7535</v>
      </c>
      <c r="H722">
        <f>'Total Traffic'!D720-'Page Sessions'!D722</f>
        <v>65384</v>
      </c>
      <c r="I722" s="2">
        <f t="shared" si="773"/>
        <v>0.11584644004735328</v>
      </c>
      <c r="J722" s="2">
        <f t="shared" si="785"/>
        <v>-0.63951483030247536</v>
      </c>
      <c r="K722" s="2">
        <f>D722/'Total Traffic'!D720</f>
        <v>0.49869275533440161</v>
      </c>
      <c r="L722" s="5">
        <f t="shared" si="774"/>
        <v>0.57949356579493561</v>
      </c>
      <c r="M722" s="5">
        <f t="shared" si="775"/>
        <v>0.67937493367292789</v>
      </c>
      <c r="N722" s="5">
        <f t="shared" si="776"/>
        <v>0.29425547701800286</v>
      </c>
      <c r="O722" s="5">
        <f t="shared" si="786"/>
        <v>1.5888300604389727E-2</v>
      </c>
      <c r="P722" s="2">
        <f t="shared" ref="P722:R722" si="793">(L722/L715)-1</f>
        <v>-2.6042006422568154E-2</v>
      </c>
      <c r="Q722" s="2">
        <f t="shared" si="793"/>
        <v>-2.5690685910361166E-2</v>
      </c>
      <c r="R722" s="2">
        <f t="shared" si="793"/>
        <v>-0.62011659504815553</v>
      </c>
      <c r="S722" s="3"/>
    </row>
    <row r="723" spans="3:19" x14ac:dyDescent="0.25">
      <c r="C723" s="1">
        <f t="shared" si="778"/>
        <v>44185</v>
      </c>
      <c r="D723">
        <v>55414</v>
      </c>
      <c r="E723">
        <v>31791</v>
      </c>
      <c r="F723">
        <v>22091</v>
      </c>
      <c r="G723">
        <v>17317</v>
      </c>
      <c r="H723">
        <f>'Total Traffic'!D721-'Page Sessions'!D723</f>
        <v>56083</v>
      </c>
      <c r="I723" s="2">
        <f t="shared" si="773"/>
        <v>0.31250225574764501</v>
      </c>
      <c r="J723" s="2">
        <f t="shared" si="785"/>
        <v>2.0208297815279108E-2</v>
      </c>
      <c r="K723" s="2">
        <f>D723/'Total Traffic'!D721</f>
        <v>0.49699991928033938</v>
      </c>
      <c r="L723" s="5">
        <f t="shared" si="774"/>
        <v>0.57369978705742231</v>
      </c>
      <c r="M723" s="5">
        <f t="shared" si="775"/>
        <v>0.69488219936460005</v>
      </c>
      <c r="N723" s="5">
        <f t="shared" si="776"/>
        <v>0.78389389344076776</v>
      </c>
      <c r="O723" s="5">
        <f t="shared" si="786"/>
        <v>4.0195827415231422E-2</v>
      </c>
      <c r="P723" s="2">
        <f t="shared" ref="P723:R723" si="794">(L723/L716)-1</f>
        <v>-1.0509747009307069E-2</v>
      </c>
      <c r="Q723" s="2">
        <f t="shared" si="794"/>
        <v>2.3124387258223855E-2</v>
      </c>
      <c r="R723" s="2">
        <f t="shared" si="794"/>
        <v>7.7409213752694939E-3</v>
      </c>
      <c r="S723" s="3"/>
    </row>
    <row r="724" spans="3:19" x14ac:dyDescent="0.25">
      <c r="C724" s="1">
        <f t="shared" si="778"/>
        <v>44186</v>
      </c>
      <c r="D724">
        <v>62683</v>
      </c>
      <c r="E724">
        <v>35898</v>
      </c>
      <c r="F724">
        <v>24335</v>
      </c>
      <c r="G724">
        <v>19356</v>
      </c>
      <c r="H724">
        <f>'Total Traffic'!D722-'Page Sessions'!D724</f>
        <v>67908</v>
      </c>
      <c r="I724" s="2">
        <f t="shared" si="773"/>
        <v>0.30879185744141152</v>
      </c>
      <c r="J724" s="2">
        <f t="shared" si="785"/>
        <v>-2.1262545320305248E-2</v>
      </c>
      <c r="K724" s="2">
        <f>D724/'Total Traffic'!D722</f>
        <v>0.47999479290303315</v>
      </c>
      <c r="L724" s="5">
        <f t="shared" si="774"/>
        <v>0.57269116028269229</v>
      </c>
      <c r="M724" s="5">
        <f t="shared" si="775"/>
        <v>0.67789291882556135</v>
      </c>
      <c r="N724" s="5">
        <f t="shared" si="776"/>
        <v>0.79539757550852686</v>
      </c>
      <c r="O724" s="5">
        <f t="shared" si="786"/>
        <v>-2.7746164211000623E-2</v>
      </c>
      <c r="P724" s="2">
        <f t="shared" ref="P724:R724" si="795">(L724/L717)-1</f>
        <v>-3.1464878629768434E-2</v>
      </c>
      <c r="Q724" s="2">
        <f t="shared" si="795"/>
        <v>1.1658014120309534E-2</v>
      </c>
      <c r="R724" s="2">
        <f t="shared" si="795"/>
        <v>-1.1112814506497593E-3</v>
      </c>
      <c r="S724" s="3"/>
    </row>
    <row r="725" spans="3:19" x14ac:dyDescent="0.25">
      <c r="C725" s="1">
        <f t="shared" si="778"/>
        <v>44187</v>
      </c>
      <c r="D725">
        <v>63447</v>
      </c>
      <c r="E725">
        <v>37344</v>
      </c>
      <c r="F725">
        <v>25132</v>
      </c>
      <c r="G725">
        <v>19675</v>
      </c>
      <c r="H725">
        <f>'Total Traffic'!D723-'Page Sessions'!D725</f>
        <v>67050</v>
      </c>
      <c r="I725" s="2">
        <f t="shared" si="773"/>
        <v>0.31010134442920861</v>
      </c>
      <c r="J725" s="2">
        <f t="shared" si="785"/>
        <v>-2.0000238438462548E-2</v>
      </c>
      <c r="K725" s="2">
        <f>D725/'Total Traffic'!D723</f>
        <v>0.48619508494448149</v>
      </c>
      <c r="L725" s="5">
        <f t="shared" si="774"/>
        <v>0.58858574873516478</v>
      </c>
      <c r="M725" s="5">
        <f t="shared" si="775"/>
        <v>0.67298628963153384</v>
      </c>
      <c r="N725" s="5">
        <f t="shared" si="776"/>
        <v>0.78286646506445967</v>
      </c>
      <c r="O725" s="5">
        <f t="shared" si="786"/>
        <v>3.3360808695469313E-2</v>
      </c>
      <c r="P725" s="2">
        <f t="shared" ref="P725:R725" si="796">(L725/L718)-1</f>
        <v>-9.1081337029222942E-3</v>
      </c>
      <c r="Q725" s="2">
        <f t="shared" si="796"/>
        <v>-1.7678318368199331E-2</v>
      </c>
      <c r="R725" s="2">
        <f t="shared" si="796"/>
        <v>6.8064210711036299E-3</v>
      </c>
      <c r="S725" s="3"/>
    </row>
    <row r="726" spans="3:19" x14ac:dyDescent="0.25">
      <c r="C726" s="1">
        <f t="shared" si="778"/>
        <v>44188</v>
      </c>
      <c r="D726">
        <v>61420</v>
      </c>
      <c r="E726">
        <v>36692</v>
      </c>
      <c r="F726">
        <v>25449</v>
      </c>
      <c r="G726">
        <v>19888</v>
      </c>
      <c r="H726">
        <f>'Total Traffic'!D724-'Page Sessions'!D726</f>
        <v>68985</v>
      </c>
      <c r="I726" s="2">
        <f t="shared" si="773"/>
        <v>0.32380332139368284</v>
      </c>
      <c r="J726" s="2">
        <f t="shared" si="785"/>
        <v>1.8107771561319153E-2</v>
      </c>
      <c r="K726" s="2">
        <f>D726/'Total Traffic'!D724</f>
        <v>0.47099421034469535</v>
      </c>
      <c r="L726" s="5">
        <f t="shared" si="774"/>
        <v>0.59739498534679258</v>
      </c>
      <c r="M726" s="5">
        <f t="shared" si="775"/>
        <v>0.69358443257385805</v>
      </c>
      <c r="N726" s="5">
        <f t="shared" si="776"/>
        <v>0.78148453770285664</v>
      </c>
      <c r="O726" s="5">
        <f t="shared" si="786"/>
        <v>-1.4956281316302888E-3</v>
      </c>
      <c r="P726" s="2">
        <f t="shared" ref="P726:R726" si="797">(L726/L719)-1</f>
        <v>3.022933685387974E-3</v>
      </c>
      <c r="Q726" s="2">
        <f t="shared" si="797"/>
        <v>2.0752134321854632E-2</v>
      </c>
      <c r="R726" s="2">
        <f t="shared" si="797"/>
        <v>-5.5966177161502761E-3</v>
      </c>
      <c r="S726" s="3"/>
    </row>
    <row r="727" spans="3:19" x14ac:dyDescent="0.25">
      <c r="C727" s="1">
        <f t="shared" si="778"/>
        <v>44189</v>
      </c>
      <c r="D727">
        <v>62952</v>
      </c>
      <c r="E727">
        <v>36209</v>
      </c>
      <c r="F727">
        <v>25306</v>
      </c>
      <c r="G727">
        <v>19908</v>
      </c>
      <c r="H727">
        <f>'Total Traffic'!D725-'Page Sessions'!D727</f>
        <v>67763</v>
      </c>
      <c r="I727" s="2">
        <f t="shared" si="773"/>
        <v>0.31624094548227222</v>
      </c>
      <c r="J727" s="2">
        <f t="shared" si="785"/>
        <v>1.9037348709828983E-2</v>
      </c>
      <c r="K727" s="2">
        <f>D727/'Total Traffic'!D725</f>
        <v>0.48159736832039168</v>
      </c>
      <c r="L727" s="5">
        <f t="shared" si="774"/>
        <v>0.57518426737831996</v>
      </c>
      <c r="M727" s="5">
        <f t="shared" si="775"/>
        <v>0.69888701703996248</v>
      </c>
      <c r="N727" s="5">
        <f t="shared" si="776"/>
        <v>0.78669090334308067</v>
      </c>
      <c r="O727" s="5">
        <f t="shared" si="786"/>
        <v>-2.0939046337601908E-2</v>
      </c>
      <c r="P727" s="2">
        <f t="shared" ref="P727:R727" si="798">(L727/L720)-1</f>
        <v>-1.3393239981728589E-2</v>
      </c>
      <c r="Q727" s="2">
        <f t="shared" si="798"/>
        <v>3.4325188495865522E-2</v>
      </c>
      <c r="R727" s="2">
        <f t="shared" si="798"/>
        <v>-1.4060885587932059E-3</v>
      </c>
      <c r="S727" s="3"/>
    </row>
    <row r="728" spans="3:19" x14ac:dyDescent="0.25">
      <c r="C728" s="1">
        <f t="shared" si="778"/>
        <v>44190</v>
      </c>
      <c r="D728">
        <v>61592</v>
      </c>
      <c r="E728">
        <v>36727</v>
      </c>
      <c r="F728">
        <v>24621</v>
      </c>
      <c r="G728">
        <v>19354</v>
      </c>
      <c r="H728">
        <f>'Total Traffic'!D726-'Page Sessions'!D728</f>
        <v>68817</v>
      </c>
      <c r="I728" s="2">
        <f t="shared" si="773"/>
        <v>0.31422912066502146</v>
      </c>
      <c r="J728" s="2">
        <f t="shared" si="785"/>
        <v>1.1919075650243931</v>
      </c>
      <c r="K728" s="2">
        <f>D728/'Total Traffic'!D726</f>
        <v>0.47229869104126249</v>
      </c>
      <c r="L728" s="5">
        <f t="shared" si="774"/>
        <v>0.59629497337316539</v>
      </c>
      <c r="M728" s="5">
        <f t="shared" si="775"/>
        <v>0.67037874043619139</v>
      </c>
      <c r="N728" s="5">
        <f t="shared" si="776"/>
        <v>0.78607692620121039</v>
      </c>
      <c r="O728" s="5">
        <f t="shared" si="786"/>
        <v>2.3324172212719763E-3</v>
      </c>
      <c r="P728" s="2">
        <f t="shared" ref="P728:R728" si="799">(L728/L721)-1</f>
        <v>1.3098704070841238E-2</v>
      </c>
      <c r="Q728" s="2">
        <f t="shared" si="799"/>
        <v>-3.8156861875351944E-2</v>
      </c>
      <c r="R728" s="2">
        <f t="shared" si="799"/>
        <v>1.2493975858502946</v>
      </c>
      <c r="S728" s="3"/>
    </row>
    <row r="729" spans="3:19" x14ac:dyDescent="0.25">
      <c r="C729" s="1">
        <f t="shared" si="778"/>
        <v>44191</v>
      </c>
      <c r="D729">
        <v>64394</v>
      </c>
      <c r="E729">
        <v>38082</v>
      </c>
      <c r="F729">
        <v>26310</v>
      </c>
      <c r="G729">
        <v>20627</v>
      </c>
      <c r="H729">
        <f>'Total Traffic'!D727-'Page Sessions'!D729</f>
        <v>66013</v>
      </c>
      <c r="I729" s="2">
        <f t="shared" si="773"/>
        <v>0.32032487498835294</v>
      </c>
      <c r="J729" s="2">
        <f t="shared" si="785"/>
        <v>1.7650817311038409</v>
      </c>
      <c r="K729" s="2">
        <f>D729/'Total Traffic'!D727</f>
        <v>0.49379251113820577</v>
      </c>
      <c r="L729" s="5">
        <f t="shared" si="774"/>
        <v>0.59139050222070377</v>
      </c>
      <c r="M729" s="5">
        <f t="shared" si="775"/>
        <v>0.69087757995903576</v>
      </c>
      <c r="N729" s="5">
        <f t="shared" si="776"/>
        <v>0.78399847966552638</v>
      </c>
      <c r="O729" s="5">
        <f t="shared" si="786"/>
        <v>-9.8261788321146737E-3</v>
      </c>
      <c r="P729" s="2">
        <f t="shared" ref="P729:R729" si="800">(L729/L722)-1</f>
        <v>2.0529885279137128E-2</v>
      </c>
      <c r="Q729" s="2">
        <f t="shared" si="800"/>
        <v>1.6931219737414738E-2</v>
      </c>
      <c r="R729" s="2">
        <f t="shared" si="800"/>
        <v>1.6643462599595402</v>
      </c>
      <c r="S729" s="3"/>
    </row>
    <row r="730" spans="3:19" x14ac:dyDescent="0.25">
      <c r="C730" s="1">
        <f t="shared" si="778"/>
        <v>44192</v>
      </c>
      <c r="D730">
        <v>62741</v>
      </c>
      <c r="E730">
        <v>37023</v>
      </c>
      <c r="F730">
        <v>25327</v>
      </c>
      <c r="G730">
        <v>19825</v>
      </c>
      <c r="H730">
        <f>'Total Traffic'!D728-'Page Sessions'!D730</f>
        <v>68024</v>
      </c>
      <c r="I730" s="2">
        <f t="shared" si="773"/>
        <v>0.31598157504662022</v>
      </c>
      <c r="J730" s="2">
        <f t="shared" si="785"/>
        <v>1.1133741389005802E-2</v>
      </c>
      <c r="K730" s="2">
        <f>D730/'Total Traffic'!D728</f>
        <v>0.4797996405766069</v>
      </c>
      <c r="L730" s="5">
        <f t="shared" si="774"/>
        <v>0.59009260292312837</v>
      </c>
      <c r="M730" s="5">
        <f t="shared" si="775"/>
        <v>0.68408826945412315</v>
      </c>
      <c r="N730" s="5">
        <f t="shared" si="776"/>
        <v>0.78276147984364508</v>
      </c>
      <c r="O730" s="5">
        <f t="shared" si="786"/>
        <v>-3.4608212268200433E-2</v>
      </c>
      <c r="P730" s="2">
        <f t="shared" ref="P730:R730" si="801">(L730/L723)-1</f>
        <v>2.8573857330132402E-2</v>
      </c>
      <c r="Q730" s="2">
        <f t="shared" si="801"/>
        <v>-1.553346728459426E-2</v>
      </c>
      <c r="R730" s="2">
        <f t="shared" si="801"/>
        <v>-1.4446006106160203E-3</v>
      </c>
      <c r="S730" s="3"/>
    </row>
    <row r="731" spans="3:19" x14ac:dyDescent="0.25">
      <c r="C731" s="1">
        <f t="shared" si="778"/>
        <v>44193</v>
      </c>
      <c r="D731">
        <v>62939</v>
      </c>
      <c r="E731">
        <v>36649</v>
      </c>
      <c r="F731">
        <v>25104</v>
      </c>
      <c r="G731">
        <v>19596</v>
      </c>
      <c r="H731">
        <f>'Total Traffic'!D729-'Page Sessions'!D731</f>
        <v>67316</v>
      </c>
      <c r="I731" s="2">
        <f t="shared" si="773"/>
        <v>0.31134908403374695</v>
      </c>
      <c r="J731" s="2">
        <f t="shared" si="785"/>
        <v>8.2813925649598552E-3</v>
      </c>
      <c r="K731" s="2">
        <f>D731/'Total Traffic'!D729</f>
        <v>0.48319834171432957</v>
      </c>
      <c r="L731" s="5">
        <f t="shared" si="774"/>
        <v>0.58229396717456583</v>
      </c>
      <c r="M731" s="5">
        <f t="shared" si="775"/>
        <v>0.68498458348113178</v>
      </c>
      <c r="N731" s="5">
        <f t="shared" si="776"/>
        <v>0.78059273422562137</v>
      </c>
      <c r="O731" s="5">
        <f t="shared" si="786"/>
        <v>6.6741324253147827E-3</v>
      </c>
      <c r="P731" s="2">
        <f t="shared" ref="P731:R731" si="802">(L731/L724)-1</f>
        <v>1.6767862956245771E-2</v>
      </c>
      <c r="Q731" s="2">
        <f t="shared" si="802"/>
        <v>1.0461334612930751E-2</v>
      </c>
      <c r="R731" s="2">
        <f t="shared" si="802"/>
        <v>-1.8613133530662629E-2</v>
      </c>
      <c r="S731" s="3"/>
    </row>
    <row r="732" spans="3:19" x14ac:dyDescent="0.25">
      <c r="C732" s="1">
        <f t="shared" si="778"/>
        <v>44194</v>
      </c>
      <c r="D732">
        <v>62861</v>
      </c>
      <c r="E732">
        <v>37326</v>
      </c>
      <c r="F732">
        <v>26098</v>
      </c>
      <c r="G732">
        <v>20304</v>
      </c>
      <c r="H732">
        <f>'Total Traffic'!D730-'Page Sessions'!D732</f>
        <v>67503</v>
      </c>
      <c r="I732" s="2">
        <f t="shared" si="773"/>
        <v>0.32299836146418287</v>
      </c>
      <c r="J732" s="2">
        <f t="shared" si="785"/>
        <v>4.1589684361779566E-2</v>
      </c>
      <c r="K732" s="2">
        <f>D732/'Total Traffic'!D730</f>
        <v>0.48219600503206406</v>
      </c>
      <c r="L732" s="5">
        <f t="shared" si="774"/>
        <v>0.59378629038672626</v>
      </c>
      <c r="M732" s="5">
        <f t="shared" si="775"/>
        <v>0.69919091250066978</v>
      </c>
      <c r="N732" s="5">
        <f t="shared" si="776"/>
        <v>0.77799065062456896</v>
      </c>
      <c r="O732" s="5">
        <f t="shared" si="786"/>
        <v>-8.2252577951792416E-3</v>
      </c>
      <c r="P732" s="2">
        <f t="shared" ref="P732:R732" si="803">(L732/L725)-1</f>
        <v>8.8356567632450478E-3</v>
      </c>
      <c r="Q732" s="2">
        <f t="shared" si="803"/>
        <v>3.8937825737108467E-2</v>
      </c>
      <c r="R732" s="2">
        <f t="shared" si="803"/>
        <v>-6.2281559595086522E-3</v>
      </c>
      <c r="S732" s="3"/>
    </row>
    <row r="733" spans="3:19" x14ac:dyDescent="0.25">
      <c r="C733" s="1">
        <f t="shared" si="778"/>
        <v>44195</v>
      </c>
      <c r="D733">
        <v>62142</v>
      </c>
      <c r="E733">
        <v>36993</v>
      </c>
      <c r="F733">
        <v>25003</v>
      </c>
      <c r="G733">
        <v>19364</v>
      </c>
      <c r="H733">
        <f>'Total Traffic'!D731-'Page Sessions'!D733</f>
        <v>68684</v>
      </c>
      <c r="I733" s="2">
        <f t="shared" si="773"/>
        <v>0.31160889575488399</v>
      </c>
      <c r="J733" s="2">
        <f t="shared" si="785"/>
        <v>-3.7659977007996059E-2</v>
      </c>
      <c r="K733" s="2">
        <f>D733/'Total Traffic'!D731</f>
        <v>0.47499732469081068</v>
      </c>
      <c r="L733" s="5">
        <f t="shared" si="774"/>
        <v>0.5952978661774645</v>
      </c>
      <c r="M733" s="5">
        <f t="shared" si="775"/>
        <v>0.67588462682129047</v>
      </c>
      <c r="N733" s="5">
        <f t="shared" si="776"/>
        <v>0.77446706395232567</v>
      </c>
      <c r="O733" s="5">
        <f t="shared" si="786"/>
        <v>8.4992856773880021E-3</v>
      </c>
      <c r="P733" s="2">
        <f t="shared" ref="P733:R733" si="804">(L733/L726)-1</f>
        <v>-3.5104398610087406E-3</v>
      </c>
      <c r="Q733" s="2">
        <f t="shared" si="804"/>
        <v>-2.5519323850572095E-2</v>
      </c>
      <c r="R733" s="2">
        <f t="shared" si="804"/>
        <v>-8.9796706293876483E-3</v>
      </c>
      <c r="S733" s="3"/>
    </row>
    <row r="734" spans="3:19" x14ac:dyDescent="0.25">
      <c r="C734" s="1">
        <f t="shared" si="778"/>
        <v>44196</v>
      </c>
      <c r="D734">
        <v>61940</v>
      </c>
      <c r="E734">
        <v>35937</v>
      </c>
      <c r="F734">
        <v>25055</v>
      </c>
      <c r="G734">
        <v>19344</v>
      </c>
      <c r="H734">
        <f>'Total Traffic'!D732-'Page Sessions'!D734</f>
        <v>68242</v>
      </c>
      <c r="I734" s="2">
        <f t="shared" si="773"/>
        <v>0.31230222796254442</v>
      </c>
      <c r="J734" s="2">
        <f t="shared" si="785"/>
        <v>-1.2454799342068723E-2</v>
      </c>
      <c r="K734" s="2">
        <f>D734/'Total Traffic'!D732</f>
        <v>0.47579542486672505</v>
      </c>
      <c r="L734" s="5">
        <f t="shared" si="774"/>
        <v>0.58019050694220209</v>
      </c>
      <c r="M734" s="5">
        <f t="shared" si="775"/>
        <v>0.69719230876255667</v>
      </c>
      <c r="N734" s="5">
        <f t="shared" si="776"/>
        <v>0.77206146477748949</v>
      </c>
      <c r="O734" s="5">
        <f t="shared" si="786"/>
        <v>-1.2047290611037487E-2</v>
      </c>
      <c r="P734" s="2">
        <f t="shared" ref="P734:R734" si="805">(L734/L727)-1</f>
        <v>8.7037143534896E-3</v>
      </c>
      <c r="Q734" s="2">
        <f t="shared" si="805"/>
        <v>-2.4248673048521407E-3</v>
      </c>
      <c r="R734" s="2">
        <f t="shared" si="805"/>
        <v>-1.8596171003659401E-2</v>
      </c>
      <c r="S734" s="3"/>
    </row>
    <row r="735" spans="3:19" x14ac:dyDescent="0.25">
      <c r="C735" s="1">
        <f t="shared" si="778"/>
        <v>44197</v>
      </c>
      <c r="D735">
        <v>62511</v>
      </c>
      <c r="E735">
        <v>36181</v>
      </c>
      <c r="F735">
        <v>25156</v>
      </c>
      <c r="G735">
        <v>19752</v>
      </c>
      <c r="H735">
        <f>'Total Traffic'!D733-'Page Sessions'!D735</f>
        <v>68485</v>
      </c>
      <c r="I735" s="2">
        <f t="shared" si="773"/>
        <v>0.31597638815568457</v>
      </c>
      <c r="J735" s="2">
        <f t="shared" si="785"/>
        <v>5.5604887509002054E-3</v>
      </c>
      <c r="K735" s="2">
        <f>D735/'Total Traffic'!D733</f>
        <v>0.47719777703135974</v>
      </c>
      <c r="L735" s="5">
        <f t="shared" si="774"/>
        <v>0.57879413223272702</v>
      </c>
      <c r="M735" s="5">
        <f t="shared" si="775"/>
        <v>0.69528205411680166</v>
      </c>
      <c r="N735" s="5">
        <f t="shared" si="776"/>
        <v>0.78518047384321832</v>
      </c>
      <c r="O735" s="5">
        <f t="shared" si="786"/>
        <v>1.0372855320213592E-2</v>
      </c>
      <c r="P735" s="2">
        <f t="shared" ref="P735:R735" si="806">(L735/L728)-1</f>
        <v>-2.9349301808530015E-2</v>
      </c>
      <c r="Q735" s="2">
        <f t="shared" si="806"/>
        <v>3.7148125646715213E-2</v>
      </c>
      <c r="R735" s="2">
        <f t="shared" si="806"/>
        <v>-1.1404130157136594E-3</v>
      </c>
      <c r="S735" s="3"/>
    </row>
    <row r="736" spans="3:19" x14ac:dyDescent="0.25">
      <c r="C736" s="1">
        <f t="shared" si="778"/>
        <v>44198</v>
      </c>
      <c r="D736">
        <v>64115</v>
      </c>
      <c r="E736">
        <v>37584</v>
      </c>
      <c r="F736">
        <v>25947</v>
      </c>
      <c r="G736">
        <v>20300</v>
      </c>
      <c r="H736">
        <f>'Total Traffic'!D734-'Page Sessions'!D736</f>
        <v>66627</v>
      </c>
      <c r="I736" s="2">
        <f t="shared" si="773"/>
        <v>0.3166185759962567</v>
      </c>
      <c r="J736" s="2">
        <f t="shared" si="785"/>
        <v>-1.1570437644691234E-2</v>
      </c>
      <c r="K736" s="2">
        <f>D736/'Total Traffic'!D734</f>
        <v>0.49039329366232731</v>
      </c>
      <c r="L736" s="5">
        <f t="shared" si="774"/>
        <v>0.58619667784449814</v>
      </c>
      <c r="M736" s="5">
        <f t="shared" si="775"/>
        <v>0.69037356321839083</v>
      </c>
      <c r="N736" s="5">
        <f t="shared" si="776"/>
        <v>0.78236404979381047</v>
      </c>
      <c r="O736" s="5">
        <f t="shared" si="786"/>
        <v>-6.8838983970072043E-3</v>
      </c>
      <c r="P736" s="2">
        <f t="shared" ref="P736:R736" si="807">(L736/L729)-1</f>
        <v>-8.7823939625383263E-3</v>
      </c>
      <c r="Q736" s="2">
        <f t="shared" si="807"/>
        <v>-7.2953118651619686E-4</v>
      </c>
      <c r="R736" s="2">
        <f t="shared" si="807"/>
        <v>-2.0847360219540256E-3</v>
      </c>
      <c r="S736" s="3"/>
    </row>
    <row r="737" spans="3:19" x14ac:dyDescent="0.25">
      <c r="C737" s="1">
        <f t="shared" si="778"/>
        <v>44199</v>
      </c>
      <c r="D737">
        <v>62002</v>
      </c>
      <c r="E737">
        <v>36283</v>
      </c>
      <c r="F737">
        <v>25325</v>
      </c>
      <c r="G737">
        <v>20070</v>
      </c>
      <c r="H737">
        <f>'Total Traffic'!D735-'Page Sessions'!D737</f>
        <v>68119</v>
      </c>
      <c r="I737" s="2">
        <f t="shared" si="773"/>
        <v>0.32369923550853197</v>
      </c>
      <c r="J737" s="2">
        <f t="shared" si="785"/>
        <v>2.4424400254265066E-2</v>
      </c>
      <c r="K737" s="2">
        <f>D737/'Total Traffic'!D735</f>
        <v>0.47649495469601372</v>
      </c>
      <c r="L737" s="5">
        <f t="shared" si="774"/>
        <v>0.58519080029676462</v>
      </c>
      <c r="M737" s="5">
        <f t="shared" si="775"/>
        <v>0.69798528236364132</v>
      </c>
      <c r="N737" s="5">
        <f t="shared" si="776"/>
        <v>0.79249753208292206</v>
      </c>
      <c r="O737" s="5">
        <f t="shared" si="786"/>
        <v>-6.8876372575471523E-3</v>
      </c>
      <c r="P737" s="2">
        <f t="shared" ref="P737:R737" si="808">(L737/L730)-1</f>
        <v>-8.3068362526182993E-3</v>
      </c>
      <c r="Q737" s="2">
        <f t="shared" si="808"/>
        <v>2.0314648752283837E-2</v>
      </c>
      <c r="R737" s="2">
        <f t="shared" si="808"/>
        <v>1.2438082979277176E-2</v>
      </c>
      <c r="S737" s="3"/>
    </row>
    <row r="738" spans="3:19" x14ac:dyDescent="0.25">
      <c r="C738" s="1">
        <f t="shared" si="778"/>
        <v>44200</v>
      </c>
      <c r="D738">
        <v>64268</v>
      </c>
      <c r="E738">
        <v>37320</v>
      </c>
      <c r="F738">
        <v>25795</v>
      </c>
      <c r="G738">
        <v>20218</v>
      </c>
      <c r="H738">
        <f>'Total Traffic'!D736-'Page Sessions'!D738</f>
        <v>65909</v>
      </c>
      <c r="I738" s="2">
        <f t="shared" si="773"/>
        <v>0.31458890894379787</v>
      </c>
      <c r="J738" s="2">
        <f t="shared" si="785"/>
        <v>1.0405763421805325E-2</v>
      </c>
      <c r="K738" s="2">
        <f>D738/'Total Traffic'!D736</f>
        <v>0.49369704325648922</v>
      </c>
      <c r="L738" s="5">
        <f t="shared" si="774"/>
        <v>0.5806933466110662</v>
      </c>
      <c r="M738" s="5">
        <f t="shared" si="775"/>
        <v>0.6911843515541265</v>
      </c>
      <c r="N738" s="5">
        <f t="shared" si="776"/>
        <v>0.78379530916844353</v>
      </c>
      <c r="O738" s="5">
        <f t="shared" si="786"/>
        <v>2.1727519810832874E-2</v>
      </c>
      <c r="P738" s="2">
        <f t="shared" ref="P738:R738" si="809">(L738/L731)-1</f>
        <v>-2.7488187302819878E-3</v>
      </c>
      <c r="Q738" s="2">
        <f t="shared" si="809"/>
        <v>9.0509600106429833E-3</v>
      </c>
      <c r="R738" s="2">
        <f t="shared" si="809"/>
        <v>4.1027475691266524E-3</v>
      </c>
      <c r="S738" s="3"/>
    </row>
    <row r="739" spans="3:19" x14ac:dyDescent="0.25">
      <c r="C739" s="1">
        <f t="shared" si="778"/>
        <v>44201</v>
      </c>
      <c r="D739">
        <v>62655</v>
      </c>
      <c r="E739">
        <v>37223</v>
      </c>
      <c r="F739">
        <v>25203</v>
      </c>
      <c r="G739">
        <v>19706</v>
      </c>
      <c r="H739">
        <f>'Total Traffic'!D737-'Page Sessions'!D739</f>
        <v>67416</v>
      </c>
      <c r="I739" s="2">
        <f t="shared" si="773"/>
        <v>0.31451600031920834</v>
      </c>
      <c r="J739" s="2">
        <f t="shared" si="785"/>
        <v>-2.6261313235532047E-2</v>
      </c>
      <c r="K739" s="2">
        <f>D739/'Total Traffic'!D737</f>
        <v>0.48169845699656344</v>
      </c>
      <c r="L739" s="5">
        <f t="shared" si="774"/>
        <v>0.59409464527970635</v>
      </c>
      <c r="M739" s="5">
        <f t="shared" si="775"/>
        <v>0.67708137441904204</v>
      </c>
      <c r="N739" s="5">
        <f t="shared" si="776"/>
        <v>0.78189104471689874</v>
      </c>
      <c r="O739" s="5">
        <f t="shared" si="786"/>
        <v>-1.0318377388206512E-3</v>
      </c>
      <c r="P739" s="2">
        <f t="shared" ref="P739:R739" si="810">(L739/L732)-1</f>
        <v>5.1930281647161181E-4</v>
      </c>
      <c r="Q739" s="2">
        <f t="shared" si="810"/>
        <v>-3.1621603894353534E-2</v>
      </c>
      <c r="R739" s="2">
        <f t="shared" si="810"/>
        <v>5.0134202630822688E-3</v>
      </c>
      <c r="S739" s="3"/>
    </row>
    <row r="740" spans="3:19" x14ac:dyDescent="0.25">
      <c r="C740" s="1">
        <f t="shared" si="778"/>
        <v>44202</v>
      </c>
      <c r="D740">
        <v>61339</v>
      </c>
      <c r="E740">
        <v>36367</v>
      </c>
      <c r="F740">
        <v>24660</v>
      </c>
      <c r="G740">
        <v>19481</v>
      </c>
      <c r="H740">
        <f>'Total Traffic'!D738-'Page Sessions'!D740</f>
        <v>68727</v>
      </c>
      <c r="I740" s="2">
        <f t="shared" si="773"/>
        <v>0.31759565692300168</v>
      </c>
      <c r="J740" s="2">
        <f t="shared" si="785"/>
        <v>1.9212420600556168E-2</v>
      </c>
      <c r="K740" s="2">
        <f>D740/'Total Traffic'!D738</f>
        <v>0.47159903433641381</v>
      </c>
      <c r="L740" s="5">
        <f t="shared" si="774"/>
        <v>0.59288543993218012</v>
      </c>
      <c r="M740" s="5">
        <f t="shared" si="775"/>
        <v>0.67808727692688431</v>
      </c>
      <c r="N740" s="5">
        <f t="shared" si="776"/>
        <v>0.78998377939983777</v>
      </c>
      <c r="O740" s="5">
        <f t="shared" si="786"/>
        <v>-7.1543357778044436E-3</v>
      </c>
      <c r="P740" s="2">
        <f t="shared" ref="P740:R740" si="811">(L740/L733)-1</f>
        <v>-4.0524691626648845E-3</v>
      </c>
      <c r="Q740" s="2">
        <f t="shared" si="811"/>
        <v>3.2589143445280744E-3</v>
      </c>
      <c r="R740" s="2">
        <f t="shared" si="811"/>
        <v>2.0035345813579131E-2</v>
      </c>
      <c r="S740" s="3"/>
    </row>
    <row r="741" spans="3:19" x14ac:dyDescent="0.25">
      <c r="C741" s="1">
        <f t="shared" si="778"/>
        <v>44203</v>
      </c>
      <c r="D741">
        <v>62390</v>
      </c>
      <c r="E741">
        <v>37271</v>
      </c>
      <c r="F741">
        <v>25075</v>
      </c>
      <c r="G741">
        <v>19739</v>
      </c>
      <c r="H741">
        <f>'Total Traffic'!D739-'Page Sessions'!D741</f>
        <v>68244</v>
      </c>
      <c r="I741" s="2">
        <f t="shared" si="773"/>
        <v>0.31638083026125979</v>
      </c>
      <c r="J741" s="2">
        <f t="shared" si="785"/>
        <v>1.3059792513566482E-2</v>
      </c>
      <c r="K741" s="2">
        <f>D741/'Total Traffic'!D739</f>
        <v>0.47759388826798538</v>
      </c>
      <c r="L741" s="5">
        <f t="shared" si="774"/>
        <v>0.59738740182721595</v>
      </c>
      <c r="M741" s="5">
        <f t="shared" si="775"/>
        <v>0.67277507982077223</v>
      </c>
      <c r="N741" s="5">
        <f t="shared" si="776"/>
        <v>0.78719840478564307</v>
      </c>
      <c r="O741" s="5">
        <f t="shared" si="786"/>
        <v>3.7799089845476086E-3</v>
      </c>
      <c r="P741" s="2">
        <f t="shared" ref="P741:R741" si="812">(L741/L734)-1</f>
        <v>2.9640083178277488E-2</v>
      </c>
      <c r="Q741" s="2">
        <f t="shared" si="812"/>
        <v>-3.5022229354656043E-2</v>
      </c>
      <c r="R741" s="2">
        <f t="shared" si="812"/>
        <v>1.9605874271313439E-2</v>
      </c>
      <c r="S741" s="3"/>
    </row>
    <row r="742" spans="3:19" x14ac:dyDescent="0.25">
      <c r="C742" s="1">
        <f t="shared" si="778"/>
        <v>44204</v>
      </c>
      <c r="D742">
        <v>64627</v>
      </c>
      <c r="E742">
        <v>38562</v>
      </c>
      <c r="F742">
        <v>26896</v>
      </c>
      <c r="G742">
        <v>21218</v>
      </c>
      <c r="H742">
        <f>'Total Traffic'!D740-'Page Sessions'!D742</f>
        <v>65801</v>
      </c>
      <c r="I742" s="2">
        <f t="shared" si="773"/>
        <v>0.32831479103161215</v>
      </c>
      <c r="J742" s="2">
        <f t="shared" si="785"/>
        <v>3.9048496465021731E-2</v>
      </c>
      <c r="K742" s="2">
        <f>D742/'Total Traffic'!D740</f>
        <v>0.49549943263716378</v>
      </c>
      <c r="L742" s="5">
        <f t="shared" si="774"/>
        <v>0.59668559580361147</v>
      </c>
      <c r="M742" s="5">
        <f t="shared" si="775"/>
        <v>0.6974741973964006</v>
      </c>
      <c r="N742" s="5">
        <f t="shared" si="776"/>
        <v>0.78889054134443781</v>
      </c>
      <c r="O742" s="5">
        <f t="shared" si="786"/>
        <v>3.8352348830412275E-2</v>
      </c>
      <c r="P742" s="2">
        <f t="shared" ref="P742:R742" si="813">(L742/L735)-1</f>
        <v>3.0911618785538275E-2</v>
      </c>
      <c r="Q742" s="2">
        <f t="shared" si="813"/>
        <v>3.1528834472558387E-3</v>
      </c>
      <c r="R742" s="2">
        <f t="shared" si="813"/>
        <v>4.7251143206095136E-3</v>
      </c>
      <c r="S742" s="3"/>
    </row>
    <row r="743" spans="3:19" x14ac:dyDescent="0.25">
      <c r="C743" s="1">
        <f t="shared" si="778"/>
        <v>44205</v>
      </c>
      <c r="D743">
        <v>62880</v>
      </c>
      <c r="E743">
        <v>36023</v>
      </c>
      <c r="F743">
        <v>24873</v>
      </c>
      <c r="G743">
        <v>19624</v>
      </c>
      <c r="H743">
        <f>'Total Traffic'!D741-'Page Sessions'!D743</f>
        <v>67172</v>
      </c>
      <c r="I743" s="2">
        <f t="shared" si="773"/>
        <v>0.31208651399491094</v>
      </c>
      <c r="J743" s="2">
        <f t="shared" si="785"/>
        <v>-1.4313948532821863E-2</v>
      </c>
      <c r="K743" s="2">
        <f>D743/'Total Traffic'!D741</f>
        <v>0.48349890812905605</v>
      </c>
      <c r="L743" s="5">
        <f t="shared" si="774"/>
        <v>0.57288486005089057</v>
      </c>
      <c r="M743" s="5">
        <f t="shared" si="775"/>
        <v>0.69047552952280489</v>
      </c>
      <c r="N743" s="5">
        <f t="shared" si="776"/>
        <v>0.78896795722269131</v>
      </c>
      <c r="O743" s="5">
        <f t="shared" si="786"/>
        <v>-1.40588903281752E-2</v>
      </c>
      <c r="P743" s="2">
        <f t="shared" ref="P743:R743" si="814">(L743/L736)-1</f>
        <v>-2.2708790917335797E-2</v>
      </c>
      <c r="Q743" s="2">
        <f t="shared" si="814"/>
        <v>1.4769729005648102E-4</v>
      </c>
      <c r="R743" s="2">
        <f t="shared" si="814"/>
        <v>8.4409648304024643E-3</v>
      </c>
      <c r="S743" s="3"/>
    </row>
    <row r="744" spans="3:19" x14ac:dyDescent="0.25">
      <c r="C744" s="1">
        <f t="shared" si="778"/>
        <v>44206</v>
      </c>
      <c r="D744">
        <v>61897</v>
      </c>
      <c r="E744">
        <v>35745</v>
      </c>
      <c r="F744">
        <v>24756</v>
      </c>
      <c r="G744">
        <v>19636</v>
      </c>
      <c r="H744">
        <f>'Total Traffic'!D742-'Page Sessions'!D744</f>
        <v>69019</v>
      </c>
      <c r="I744" s="2">
        <f t="shared" si="773"/>
        <v>0.31723669967849816</v>
      </c>
      <c r="J744" s="2">
        <f t="shared" si="785"/>
        <v>-1.9964631117775578E-2</v>
      </c>
      <c r="K744" s="2">
        <f>D744/'Total Traffic'!D742</f>
        <v>0.47279935225640868</v>
      </c>
      <c r="L744" s="5">
        <f t="shared" si="774"/>
        <v>0.57749163933631675</v>
      </c>
      <c r="M744" s="5">
        <f t="shared" si="775"/>
        <v>0.69257238774653795</v>
      </c>
      <c r="N744" s="5">
        <f t="shared" si="776"/>
        <v>0.79318145096138315</v>
      </c>
      <c r="O744" s="5">
        <f t="shared" si="786"/>
        <v>-7.7558060230935588E-3</v>
      </c>
      <c r="P744" s="2">
        <f t="shared" ref="P744:R744" si="815">(L744/L737)-1</f>
        <v>-1.3156667802267985E-2</v>
      </c>
      <c r="Q744" s="2">
        <f t="shared" si="815"/>
        <v>-7.7550268664308142E-3</v>
      </c>
      <c r="R744" s="2">
        <f t="shared" si="815"/>
        <v>8.6299180852145163E-4</v>
      </c>
      <c r="S744" s="3"/>
    </row>
    <row r="745" spans="3:19" x14ac:dyDescent="0.25">
      <c r="C745" s="1">
        <f t="shared" si="778"/>
        <v>44207</v>
      </c>
      <c r="D745">
        <v>62871</v>
      </c>
      <c r="E745">
        <v>37244</v>
      </c>
      <c r="F745">
        <v>26070</v>
      </c>
      <c r="G745">
        <v>20683</v>
      </c>
      <c r="H745">
        <f>'Total Traffic'!D743-'Page Sessions'!D745</f>
        <v>68056</v>
      </c>
      <c r="I745" s="2">
        <f t="shared" si="773"/>
        <v>0.32897520319384138</v>
      </c>
      <c r="J745" s="2">
        <f t="shared" si="785"/>
        <v>4.5730455972984307E-2</v>
      </c>
      <c r="K745" s="2">
        <f>D745/'Total Traffic'!D743</f>
        <v>0.48019888945748396</v>
      </c>
      <c r="L745" s="5">
        <f t="shared" si="774"/>
        <v>0.59238758728189467</v>
      </c>
      <c r="M745" s="5">
        <f t="shared" si="775"/>
        <v>0.69997852003007199</v>
      </c>
      <c r="N745" s="5">
        <f t="shared" si="776"/>
        <v>0.79336401994629846</v>
      </c>
      <c r="O745" s="5">
        <f t="shared" si="786"/>
        <v>-2.7340965443037102E-2</v>
      </c>
      <c r="P745" s="2">
        <f t="shared" ref="P745:R745" si="816">(L745/L738)-1</f>
        <v>2.0138409952647374E-2</v>
      </c>
      <c r="Q745" s="2">
        <f t="shared" si="816"/>
        <v>1.2723332720383285E-2</v>
      </c>
      <c r="R745" s="2">
        <f t="shared" si="816"/>
        <v>1.220817561157217E-2</v>
      </c>
      <c r="S745" s="3"/>
    </row>
    <row r="746" spans="3:19" x14ac:dyDescent="0.25">
      <c r="C746" s="1">
        <f t="shared" si="778"/>
        <v>44208</v>
      </c>
      <c r="D746">
        <v>33060</v>
      </c>
      <c r="E746">
        <v>19227</v>
      </c>
      <c r="F746">
        <v>13380</v>
      </c>
      <c r="G746">
        <v>10583</v>
      </c>
      <c r="H746">
        <f>'Total Traffic'!D744-'Page Sessions'!D746</f>
        <v>34150</v>
      </c>
      <c r="I746" s="2">
        <f t="shared" si="773"/>
        <v>0.32011494252873562</v>
      </c>
      <c r="J746" s="2">
        <f t="shared" si="785"/>
        <v>1.7801772259105508E-2</v>
      </c>
      <c r="K746" s="2">
        <f>D746/'Total Traffic'!D744</f>
        <v>0.4918910876357685</v>
      </c>
      <c r="L746" s="5">
        <f t="shared" si="774"/>
        <v>0.58157894736842108</v>
      </c>
      <c r="M746" s="5">
        <f t="shared" si="775"/>
        <v>0.69589639569355599</v>
      </c>
      <c r="N746" s="5">
        <f t="shared" si="776"/>
        <v>0.79095665171898355</v>
      </c>
      <c r="O746" s="5">
        <f t="shared" si="786"/>
        <v>2.1159774317644819E-2</v>
      </c>
      <c r="P746" s="2">
        <f t="shared" ref="P746:R746" si="817">(L746/L739)-1</f>
        <v>-2.1066841808332959E-2</v>
      </c>
      <c r="Q746" s="2">
        <f t="shared" si="817"/>
        <v>2.7788419509631179E-2</v>
      </c>
      <c r="R746" s="2">
        <f t="shared" si="817"/>
        <v>1.1594463273802091E-2</v>
      </c>
      <c r="S746" s="3"/>
    </row>
    <row r="747" spans="3:19" x14ac:dyDescent="0.25">
      <c r="C747" s="1">
        <f t="shared" si="778"/>
        <v>44209</v>
      </c>
      <c r="D747">
        <v>61713</v>
      </c>
      <c r="E747">
        <v>36787</v>
      </c>
      <c r="F747">
        <v>25257</v>
      </c>
      <c r="G747">
        <v>19864</v>
      </c>
      <c r="H747">
        <f>'Total Traffic'!D745-'Page Sessions'!D747</f>
        <v>68897</v>
      </c>
      <c r="I747" s="2">
        <f t="shared" si="773"/>
        <v>0.32187707614278999</v>
      </c>
      <c r="J747" s="2">
        <f t="shared" si="785"/>
        <v>1.3480723449648124E-2</v>
      </c>
      <c r="K747" s="2">
        <f>D747/'Total Traffic'!D745</f>
        <v>0.47249827731414135</v>
      </c>
      <c r="L747" s="5">
        <f t="shared" si="774"/>
        <v>0.59609806685787436</v>
      </c>
      <c r="M747" s="5">
        <f t="shared" si="775"/>
        <v>0.68657406148911304</v>
      </c>
      <c r="N747" s="5">
        <f t="shared" si="776"/>
        <v>0.78647503662351026</v>
      </c>
      <c r="O747" s="5">
        <f t="shared" si="786"/>
        <v>1.9067956298783884E-3</v>
      </c>
      <c r="P747" s="2">
        <f t="shared" ref="P747:R747" si="818">(L747/L740)-1</f>
        <v>5.4186301590770647E-3</v>
      </c>
      <c r="Q747" s="2">
        <f t="shared" si="818"/>
        <v>1.2515770242277791E-2</v>
      </c>
      <c r="R747" s="2">
        <f t="shared" si="818"/>
        <v>-4.4415377477663442E-3</v>
      </c>
      <c r="S747" s="3"/>
    </row>
    <row r="748" spans="3:19" x14ac:dyDescent="0.25">
      <c r="C748" s="1">
        <f t="shared" si="778"/>
        <v>44210</v>
      </c>
      <c r="D748">
        <v>61702</v>
      </c>
      <c r="E748">
        <v>36860</v>
      </c>
      <c r="F748">
        <v>25094</v>
      </c>
      <c r="G748">
        <v>19781</v>
      </c>
      <c r="H748">
        <f>'Total Traffic'!D746-'Page Sessions'!D748</f>
        <v>68582</v>
      </c>
      <c r="I748" s="2">
        <f t="shared" si="773"/>
        <v>0.32058928397782893</v>
      </c>
      <c r="J748" s="2">
        <f t="shared" si="785"/>
        <v>1.3301860650324127E-2</v>
      </c>
      <c r="K748" s="2">
        <f>D748/'Total Traffic'!D746</f>
        <v>0.47359614380890974</v>
      </c>
      <c r="L748" s="5">
        <f t="shared" si="774"/>
        <v>0.59738744287057144</v>
      </c>
      <c r="M748" s="5">
        <f t="shared" si="775"/>
        <v>0.68079218665219754</v>
      </c>
      <c r="N748" s="5">
        <f t="shared" si="776"/>
        <v>0.78827608193193588</v>
      </c>
      <c r="O748" s="5">
        <f t="shared" si="786"/>
        <v>-8.3705938398282997E-3</v>
      </c>
      <c r="P748" s="2">
        <f t="shared" ref="P748:R748" si="819">(L748/L741)-1</f>
        <v>6.8704755662452044E-8</v>
      </c>
      <c r="Q748" s="2">
        <f t="shared" si="819"/>
        <v>1.1916474126183463E-2</v>
      </c>
      <c r="R748" s="2">
        <f t="shared" si="819"/>
        <v>1.3690032141087105E-3</v>
      </c>
      <c r="S748" s="3"/>
    </row>
    <row r="749" spans="3:19" x14ac:dyDescent="0.25">
      <c r="C749" s="1">
        <f t="shared" si="778"/>
        <v>44211</v>
      </c>
      <c r="D749">
        <v>65249</v>
      </c>
      <c r="E749">
        <v>37733</v>
      </c>
      <c r="F749">
        <v>25466</v>
      </c>
      <c r="G749">
        <v>20034</v>
      </c>
      <c r="H749">
        <f>'Total Traffic'!D747-'Page Sessions'!D749</f>
        <v>65459</v>
      </c>
      <c r="I749" s="2">
        <f t="shared" si="773"/>
        <v>0.30703918834005117</v>
      </c>
      <c r="J749" s="2">
        <f t="shared" si="785"/>
        <v>-6.480244957807102E-2</v>
      </c>
      <c r="K749" s="2">
        <f>D749/'Total Traffic'!D747</f>
        <v>0.49919668268200873</v>
      </c>
      <c r="L749" s="5">
        <f t="shared" si="774"/>
        <v>0.57829238762279878</v>
      </c>
      <c r="M749" s="5">
        <f t="shared" si="775"/>
        <v>0.67489995494659849</v>
      </c>
      <c r="N749" s="5">
        <f t="shared" si="776"/>
        <v>0.78669598680593733</v>
      </c>
      <c r="O749" s="5">
        <f t="shared" si="786"/>
        <v>7.4616635283866195E-3</v>
      </c>
      <c r="P749" s="2">
        <f t="shared" ref="P749:R749" si="820">(L749/L742)-1</f>
        <v>-3.0825627952424162E-2</v>
      </c>
      <c r="Q749" s="2">
        <f t="shared" si="820"/>
        <v>-3.236570260816729E-2</v>
      </c>
      <c r="R749" s="2">
        <f t="shared" si="820"/>
        <v>-2.7818238697101538E-3</v>
      </c>
      <c r="S749" s="3"/>
    </row>
    <row r="750" spans="3:19" x14ac:dyDescent="0.25">
      <c r="C750" s="1">
        <f t="shared" si="778"/>
        <v>44212</v>
      </c>
      <c r="D750">
        <v>63554</v>
      </c>
      <c r="E750">
        <v>37706</v>
      </c>
      <c r="F750">
        <v>25790</v>
      </c>
      <c r="G750">
        <v>20214</v>
      </c>
      <c r="H750">
        <f>'Total Traffic'!D748-'Page Sessions'!D750</f>
        <v>67379</v>
      </c>
      <c r="I750" s="2">
        <f t="shared" si="773"/>
        <v>0.31806023224344654</v>
      </c>
      <c r="J750" s="2">
        <f t="shared" si="785"/>
        <v>1.9141225207293111E-2</v>
      </c>
      <c r="K750" s="2">
        <f>D750/'Total Traffic'!D748</f>
        <v>0.48539329275278198</v>
      </c>
      <c r="L750" s="5">
        <f t="shared" si="774"/>
        <v>0.59329074487837119</v>
      </c>
      <c r="M750" s="5">
        <f t="shared" si="775"/>
        <v>0.68397602503580335</v>
      </c>
      <c r="N750" s="5">
        <f t="shared" si="776"/>
        <v>0.7837921675067856</v>
      </c>
      <c r="O750" s="5">
        <f t="shared" si="786"/>
        <v>3.9180742538931224E-3</v>
      </c>
      <c r="P750" s="2">
        <f t="shared" ref="P750:R750" si="821">(L750/L743)-1</f>
        <v>3.561952191522022E-2</v>
      </c>
      <c r="Q750" s="2">
        <f t="shared" si="821"/>
        <v>-9.4130844745409226E-3</v>
      </c>
      <c r="R750" s="2">
        <f t="shared" si="821"/>
        <v>-6.5602026907726207E-3</v>
      </c>
      <c r="S750" s="3"/>
    </row>
    <row r="751" spans="3:19" x14ac:dyDescent="0.25">
      <c r="C751" s="1">
        <f t="shared" si="778"/>
        <v>44213</v>
      </c>
      <c r="D751">
        <v>62056</v>
      </c>
      <c r="E751">
        <v>35986</v>
      </c>
      <c r="F751">
        <v>24427</v>
      </c>
      <c r="G751">
        <v>18816</v>
      </c>
      <c r="H751">
        <f>'Total Traffic'!D749-'Page Sessions'!D751</f>
        <v>68068</v>
      </c>
      <c r="I751" s="2">
        <f t="shared" si="773"/>
        <v>0.30321000386747454</v>
      </c>
      <c r="J751" s="2">
        <f t="shared" si="785"/>
        <v>-4.4215236841257277E-2</v>
      </c>
      <c r="K751" s="2">
        <f>D751/'Total Traffic'!D749</f>
        <v>0.47689895791706371</v>
      </c>
      <c r="L751" s="5">
        <f t="shared" si="774"/>
        <v>0.57989557818744364</v>
      </c>
      <c r="M751" s="5">
        <f t="shared" si="775"/>
        <v>0.67879175234813538</v>
      </c>
      <c r="N751" s="5">
        <f t="shared" si="776"/>
        <v>0.77029516518606456</v>
      </c>
      <c r="O751" s="5">
        <f t="shared" si="786"/>
        <v>8.6709206370310099E-3</v>
      </c>
      <c r="P751" s="2">
        <f t="shared" ref="P751:R751" si="822">(L751/L744)-1</f>
        <v>4.1627249424591728E-3</v>
      </c>
      <c r="Q751" s="2">
        <f t="shared" si="822"/>
        <v>-1.9897754577310578E-2</v>
      </c>
      <c r="R751" s="2">
        <f t="shared" si="822"/>
        <v>-2.8853783390394572E-2</v>
      </c>
      <c r="S751" s="3"/>
    </row>
    <row r="752" spans="3:19" x14ac:dyDescent="0.25">
      <c r="C752" s="1">
        <f t="shared" si="778"/>
        <v>44214</v>
      </c>
      <c r="D752">
        <v>64593</v>
      </c>
      <c r="E752">
        <v>37082</v>
      </c>
      <c r="F752">
        <v>25490</v>
      </c>
      <c r="G752">
        <v>19971</v>
      </c>
      <c r="H752">
        <f>'Total Traffic'!D750-'Page Sessions'!D752</f>
        <v>66296</v>
      </c>
      <c r="I752" s="2">
        <f t="shared" si="773"/>
        <v>0.30918210951651109</v>
      </c>
      <c r="J752" s="2">
        <f t="shared" si="785"/>
        <v>-6.0165913677292071E-2</v>
      </c>
      <c r="K752" s="2">
        <f>D752/'Total Traffic'!D750</f>
        <v>0.49349448769568105</v>
      </c>
      <c r="L752" s="5">
        <f t="shared" si="774"/>
        <v>0.57408697536884801</v>
      </c>
      <c r="M752" s="5">
        <f t="shared" si="775"/>
        <v>0.68739550186074105</v>
      </c>
      <c r="N752" s="5">
        <f t="shared" si="776"/>
        <v>0.78348371910553161</v>
      </c>
      <c r="O752" s="5">
        <f t="shared" si="786"/>
        <v>2.7687690517606445E-2</v>
      </c>
      <c r="P752" s="2">
        <f t="shared" ref="P752:R752" si="823">(L752/L745)-1</f>
        <v>-3.0892969916903601E-2</v>
      </c>
      <c r="Q752" s="2">
        <f t="shared" si="823"/>
        <v>-1.7976291856484861E-2</v>
      </c>
      <c r="R752" s="2">
        <f t="shared" si="823"/>
        <v>-1.245367900782246E-2</v>
      </c>
      <c r="S752" s="3"/>
    </row>
    <row r="753" spans="3:19" x14ac:dyDescent="0.25">
      <c r="C753" s="1">
        <f t="shared" si="778"/>
        <v>44215</v>
      </c>
      <c r="D753">
        <v>64589</v>
      </c>
      <c r="E753">
        <v>38495</v>
      </c>
      <c r="F753">
        <v>26195</v>
      </c>
      <c r="G753">
        <v>20327</v>
      </c>
      <c r="H753">
        <f>'Total Traffic'!D751-'Page Sessions'!D753</f>
        <v>66292</v>
      </c>
      <c r="I753" s="2">
        <f t="shared" si="773"/>
        <v>0.31471303163077302</v>
      </c>
      <c r="J753" s="2">
        <f t="shared" si="785"/>
        <v>-1.68749101659873E-2</v>
      </c>
      <c r="K753" s="2">
        <f>D753/'Total Traffic'!D751</f>
        <v>0.49349409005126793</v>
      </c>
      <c r="L753" s="5">
        <f t="shared" si="774"/>
        <v>0.59599931876944989</v>
      </c>
      <c r="M753" s="5">
        <f t="shared" si="775"/>
        <v>0.68047798415378624</v>
      </c>
      <c r="N753" s="5">
        <f t="shared" si="776"/>
        <v>0.77598778392823053</v>
      </c>
      <c r="O753" s="5">
        <f t="shared" si="786"/>
        <v>3.2588563927924419E-3</v>
      </c>
      <c r="P753" s="2">
        <f t="shared" ref="P753:R753" si="824">(L753/L746)-1</f>
        <v>2.479520874385055E-2</v>
      </c>
      <c r="Q753" s="2">
        <f t="shared" si="824"/>
        <v>-2.215618824179022E-2</v>
      </c>
      <c r="R753" s="2">
        <f t="shared" si="824"/>
        <v>-1.8925016634250724E-2</v>
      </c>
      <c r="S753" s="3"/>
    </row>
    <row r="754" spans="3:19" x14ac:dyDescent="0.25">
      <c r="C754" s="1">
        <f t="shared" si="778"/>
        <v>44216</v>
      </c>
      <c r="D754">
        <v>61358</v>
      </c>
      <c r="E754">
        <v>36109</v>
      </c>
      <c r="F754">
        <v>24666</v>
      </c>
      <c r="G754">
        <v>19175</v>
      </c>
      <c r="H754">
        <f>'Total Traffic'!D752-'Page Sessions'!D754</f>
        <v>68749</v>
      </c>
      <c r="I754" s="2">
        <f t="shared" si="773"/>
        <v>0.31251018612079923</v>
      </c>
      <c r="J754" s="2">
        <f t="shared" si="785"/>
        <v>-2.9100829839262765E-2</v>
      </c>
      <c r="K754" s="2">
        <f>D754/'Total Traffic'!D752</f>
        <v>0.47159645522531457</v>
      </c>
      <c r="L754" s="5">
        <f t="shared" si="774"/>
        <v>0.58849701750382999</v>
      </c>
      <c r="M754" s="5">
        <f t="shared" si="775"/>
        <v>0.68309839652164284</v>
      </c>
      <c r="N754" s="5">
        <f t="shared" si="776"/>
        <v>0.77738587529392689</v>
      </c>
      <c r="O754" s="5">
        <f t="shared" si="786"/>
        <v>-1.9086251360599382E-3</v>
      </c>
      <c r="P754" s="2">
        <f t="shared" ref="P754:R754" si="825">(L754/L747)-1</f>
        <v>-1.2751340386172871E-2</v>
      </c>
      <c r="Q754" s="2">
        <f t="shared" si="825"/>
        <v>-5.062330726465003E-3</v>
      </c>
      <c r="R754" s="2">
        <f t="shared" si="825"/>
        <v>-1.155683385528028E-2</v>
      </c>
      <c r="S754" s="3"/>
    </row>
    <row r="755" spans="3:19" x14ac:dyDescent="0.25">
      <c r="C755" s="1">
        <f t="shared" si="778"/>
        <v>44217</v>
      </c>
      <c r="D755">
        <v>62918</v>
      </c>
      <c r="E755">
        <v>36479</v>
      </c>
      <c r="F755">
        <v>24699</v>
      </c>
      <c r="G755">
        <v>19292</v>
      </c>
      <c r="H755">
        <f>'Total Traffic'!D753-'Page Sessions'!D755</f>
        <v>67294</v>
      </c>
      <c r="I755" s="2">
        <f t="shared" si="773"/>
        <v>0.30662131663434949</v>
      </c>
      <c r="J755" s="2">
        <f t="shared" si="785"/>
        <v>-4.3569663870753117E-2</v>
      </c>
      <c r="K755" s="2">
        <f>D755/'Total Traffic'!D753</f>
        <v>0.48319663318280959</v>
      </c>
      <c r="L755" s="5">
        <f t="shared" si="774"/>
        <v>0.57978638863282372</v>
      </c>
      <c r="M755" s="5">
        <f t="shared" si="775"/>
        <v>0.67707448120836644</v>
      </c>
      <c r="N755" s="5">
        <f t="shared" si="776"/>
        <v>0.78108425442325602</v>
      </c>
      <c r="O755" s="5">
        <f t="shared" si="786"/>
        <v>2.0271468632931944E-2</v>
      </c>
      <c r="P755" s="2">
        <f t="shared" ref="P755:R755" si="826">(L755/L748)-1</f>
        <v>-2.9463381676004041E-2</v>
      </c>
      <c r="Q755" s="2">
        <f t="shared" si="826"/>
        <v>-5.4608521024792633E-3</v>
      </c>
      <c r="R755" s="2">
        <f t="shared" si="826"/>
        <v>-9.1234881706088178E-3</v>
      </c>
      <c r="S755" s="3"/>
    </row>
    <row r="756" spans="3:19" x14ac:dyDescent="0.25">
      <c r="C756" s="1">
        <f t="shared" si="778"/>
        <v>44218</v>
      </c>
      <c r="D756">
        <v>62149</v>
      </c>
      <c r="E756">
        <v>35493</v>
      </c>
      <c r="F756">
        <v>24121</v>
      </c>
      <c r="G756">
        <v>18840</v>
      </c>
      <c r="H756">
        <f>'Total Traffic'!D754-'Page Sessions'!D756</f>
        <v>68281</v>
      </c>
      <c r="I756" s="2">
        <f t="shared" si="773"/>
        <v>0.30314244798790002</v>
      </c>
      <c r="J756" s="2">
        <f t="shared" si="785"/>
        <v>-1.2691345274908228E-2</v>
      </c>
      <c r="K756" s="2">
        <f>D756/'Total Traffic'!D754</f>
        <v>0.47649313808172966</v>
      </c>
      <c r="L756" s="5">
        <f t="shared" si="774"/>
        <v>0.57109527104217284</v>
      </c>
      <c r="M756" s="5">
        <f t="shared" si="775"/>
        <v>0.67959879412841973</v>
      </c>
      <c r="N756" s="5">
        <f t="shared" si="776"/>
        <v>0.78106214501886329</v>
      </c>
      <c r="O756" s="5">
        <f t="shared" si="786"/>
        <v>-4.5480159199578152E-2</v>
      </c>
      <c r="P756" s="2">
        <f t="shared" ref="P756:R756" si="827">(L756/L749)-1</f>
        <v>-1.2445463116350752E-2</v>
      </c>
      <c r="Q756" s="2">
        <f t="shared" si="827"/>
        <v>6.9622751451998699E-3</v>
      </c>
      <c r="R756" s="2">
        <f t="shared" si="827"/>
        <v>-7.1613963736462116E-3</v>
      </c>
      <c r="S756" s="3"/>
    </row>
    <row r="757" spans="3:19" x14ac:dyDescent="0.25">
      <c r="C757" s="1">
        <f t="shared" si="778"/>
        <v>44219</v>
      </c>
      <c r="D757">
        <v>65178</v>
      </c>
      <c r="E757">
        <v>37509</v>
      </c>
      <c r="F757">
        <v>26095</v>
      </c>
      <c r="G757">
        <v>20468</v>
      </c>
      <c r="H757">
        <f>'Total Traffic'!D755-'Page Sessions'!D757</f>
        <v>65284</v>
      </c>
      <c r="I757" s="2">
        <f t="shared" si="773"/>
        <v>0.31403234220135628</v>
      </c>
      <c r="J757" s="2">
        <f t="shared" si="785"/>
        <v>-1.2663922219006807E-2</v>
      </c>
      <c r="K757" s="2">
        <f>D757/'Total Traffic'!D755</f>
        <v>0.49959375143720008</v>
      </c>
      <c r="L757" s="5">
        <f t="shared" si="774"/>
        <v>0.57548559329835225</v>
      </c>
      <c r="M757" s="5">
        <f t="shared" si="775"/>
        <v>0.69569969873896931</v>
      </c>
      <c r="N757" s="5">
        <f t="shared" si="776"/>
        <v>0.78436482084690551</v>
      </c>
      <c r="O757" s="5">
        <f t="shared" si="786"/>
        <v>2.9255572535590524E-2</v>
      </c>
      <c r="P757" s="2">
        <f t="shared" ref="P757:R757" si="828">(L757/L750)-1</f>
        <v>-3.001083656491077E-2</v>
      </c>
      <c r="Q757" s="2">
        <f t="shared" si="828"/>
        <v>1.7140474627823865E-2</v>
      </c>
      <c r="R757" s="2">
        <f t="shared" si="828"/>
        <v>7.30618860279586E-4</v>
      </c>
      <c r="S757" s="3"/>
    </row>
    <row r="758" spans="3:19" x14ac:dyDescent="0.25">
      <c r="C758" s="1">
        <f t="shared" si="778"/>
        <v>44220</v>
      </c>
      <c r="D758">
        <v>65291</v>
      </c>
      <c r="E758">
        <v>38652</v>
      </c>
      <c r="F758">
        <v>26584</v>
      </c>
      <c r="G758">
        <v>21073</v>
      </c>
      <c r="H758">
        <f>'Total Traffic'!D756-'Page Sessions'!D758</f>
        <v>65502</v>
      </c>
      <c r="I758" s="2">
        <f t="shared" si="773"/>
        <v>0.32275505046637359</v>
      </c>
      <c r="J758" s="2">
        <f t="shared" si="785"/>
        <v>6.4460427919923458E-2</v>
      </c>
      <c r="K758" s="2">
        <f>D758/'Total Traffic'!D756</f>
        <v>0.49919338190881773</v>
      </c>
      <c r="L758" s="5">
        <f t="shared" si="774"/>
        <v>0.59199583403531886</v>
      </c>
      <c r="M758" s="5">
        <f t="shared" si="775"/>
        <v>0.68777812273621031</v>
      </c>
      <c r="N758" s="5">
        <f t="shared" si="776"/>
        <v>0.79269485404754736</v>
      </c>
      <c r="O758" s="5">
        <f t="shared" si="786"/>
        <v>4.6748737068180279E-2</v>
      </c>
      <c r="P758" s="2">
        <f t="shared" ref="P758:R758" si="829">(L758/L751)-1</f>
        <v>2.0866266795302124E-2</v>
      </c>
      <c r="Q758" s="2">
        <f t="shared" si="829"/>
        <v>1.3238773684253635E-2</v>
      </c>
      <c r="R758" s="2">
        <f t="shared" si="829"/>
        <v>2.9079357983601284E-2</v>
      </c>
      <c r="S758" s="3"/>
    </row>
    <row r="759" spans="3:19" x14ac:dyDescent="0.25">
      <c r="C759" s="1">
        <f t="shared" si="778"/>
        <v>44221</v>
      </c>
      <c r="D759">
        <v>62114</v>
      </c>
      <c r="E759">
        <v>35995</v>
      </c>
      <c r="F759">
        <v>24948</v>
      </c>
      <c r="G759">
        <v>19586</v>
      </c>
      <c r="H759">
        <f>'Total Traffic'!D757-'Page Sessions'!D759</f>
        <v>68709</v>
      </c>
      <c r="I759" s="2">
        <f t="shared" si="773"/>
        <v>0.31532343755031073</v>
      </c>
      <c r="J759" s="2">
        <f t="shared" si="785"/>
        <v>1.9863141639738569E-2</v>
      </c>
      <c r="K759" s="2">
        <f>D759/'Total Traffic'!D757</f>
        <v>0.47479418756640651</v>
      </c>
      <c r="L759" s="5">
        <f t="shared" si="774"/>
        <v>0.57949898573590497</v>
      </c>
      <c r="M759" s="5">
        <f t="shared" si="775"/>
        <v>0.69309626336991248</v>
      </c>
      <c r="N759" s="5">
        <f t="shared" si="776"/>
        <v>0.78507295173961844</v>
      </c>
      <c r="O759" s="5">
        <f t="shared" si="786"/>
        <v>-3.7893635279683813E-2</v>
      </c>
      <c r="P759" s="2">
        <f t="shared" ref="P759:R759" si="830">(L759/L752)-1</f>
        <v>9.427161038760401E-3</v>
      </c>
      <c r="Q759" s="2">
        <f t="shared" si="830"/>
        <v>8.2932772963160151E-3</v>
      </c>
      <c r="R759" s="2">
        <f t="shared" si="830"/>
        <v>2.0284181985315008E-3</v>
      </c>
      <c r="S759" s="3"/>
    </row>
    <row r="760" spans="3:19" x14ac:dyDescent="0.25">
      <c r="C760" s="1">
        <f t="shared" si="778"/>
        <v>44222</v>
      </c>
      <c r="D760">
        <v>62328</v>
      </c>
      <c r="E760">
        <v>36038</v>
      </c>
      <c r="F760">
        <v>25161</v>
      </c>
      <c r="G760">
        <v>19535</v>
      </c>
      <c r="H760">
        <f>'Total Traffic'!D758-'Page Sessions'!D760</f>
        <v>68040</v>
      </c>
      <c r="I760" s="2">
        <f t="shared" si="773"/>
        <v>0.3134225388268515</v>
      </c>
      <c r="J760" s="2">
        <f t="shared" si="785"/>
        <v>-4.1005381862786461E-3</v>
      </c>
      <c r="K760" s="2">
        <f>D760/'Total Traffic'!D758</f>
        <v>0.47809278350515466</v>
      </c>
      <c r="L760" s="5">
        <f t="shared" si="774"/>
        <v>0.57819920420998583</v>
      </c>
      <c r="M760" s="5">
        <f t="shared" si="775"/>
        <v>0.69817969920639322</v>
      </c>
      <c r="N760" s="5">
        <f t="shared" si="776"/>
        <v>0.77639998410238065</v>
      </c>
      <c r="O760" s="5">
        <f t="shared" si="786"/>
        <v>-3.120869501094381E-2</v>
      </c>
      <c r="P760" s="2">
        <f t="shared" ref="P760:R760" si="831">(L760/L753)-1</f>
        <v>-2.9865998162910135E-2</v>
      </c>
      <c r="Q760" s="2">
        <f t="shared" si="831"/>
        <v>2.6013648442454906E-2</v>
      </c>
      <c r="R760" s="2">
        <f t="shared" si="831"/>
        <v>5.3119415368052536E-4</v>
      </c>
      <c r="S760" s="3"/>
    </row>
    <row r="761" spans="3:19" x14ac:dyDescent="0.25">
      <c r="C761" s="1">
        <f t="shared" si="778"/>
        <v>44223</v>
      </c>
      <c r="D761">
        <v>64399</v>
      </c>
      <c r="E761">
        <v>36778</v>
      </c>
      <c r="F761">
        <v>25222</v>
      </c>
      <c r="G761">
        <v>19420</v>
      </c>
      <c r="H761">
        <f>'Total Traffic'!D759-'Page Sessions'!D761</f>
        <v>65859</v>
      </c>
      <c r="I761" s="2">
        <f t="shared" si="773"/>
        <v>0.30155747760058388</v>
      </c>
      <c r="J761" s="2">
        <f t="shared" si="785"/>
        <v>-3.5047524870058577E-2</v>
      </c>
      <c r="K761" s="2">
        <f>D761/'Total Traffic'!D759</f>
        <v>0.4943957376898156</v>
      </c>
      <c r="L761" s="5">
        <f t="shared" si="774"/>
        <v>0.57109582446932405</v>
      </c>
      <c r="M761" s="5">
        <f t="shared" si="775"/>
        <v>0.68579041818478437</v>
      </c>
      <c r="N761" s="5">
        <f t="shared" si="776"/>
        <v>0.76996273094917134</v>
      </c>
      <c r="O761" s="5">
        <f t="shared" si="786"/>
        <v>4.8344897871652082E-2</v>
      </c>
      <c r="P761" s="2">
        <f t="shared" ref="P761:R761" si="832">(L761/L754)-1</f>
        <v>-2.9568872087601838E-2</v>
      </c>
      <c r="Q761" s="2">
        <f t="shared" si="832"/>
        <v>3.9408988175779758E-3</v>
      </c>
      <c r="R761" s="2">
        <f t="shared" si="832"/>
        <v>-9.5488541542497751E-3</v>
      </c>
      <c r="S761" s="3"/>
    </row>
    <row r="762" spans="3:19" x14ac:dyDescent="0.25">
      <c r="C762" s="1">
        <f t="shared" si="778"/>
        <v>44224</v>
      </c>
      <c r="D762">
        <v>62806</v>
      </c>
      <c r="E762">
        <v>36540</v>
      </c>
      <c r="F762">
        <v>25238</v>
      </c>
      <c r="G762">
        <v>19698</v>
      </c>
      <c r="H762">
        <f>'Total Traffic'!D760-'Page Sessions'!D762</f>
        <v>68123</v>
      </c>
      <c r="I762" s="2">
        <f t="shared" si="773"/>
        <v>0.31363245549788238</v>
      </c>
      <c r="J762" s="2">
        <f t="shared" si="785"/>
        <v>2.2865790743093584E-2</v>
      </c>
      <c r="K762" s="2">
        <f>D762/'Total Traffic'!D760</f>
        <v>0.47969510192547105</v>
      </c>
      <c r="L762" s="5">
        <f t="shared" si="774"/>
        <v>0.58179154857816129</v>
      </c>
      <c r="M762" s="5">
        <f t="shared" si="775"/>
        <v>0.69069512862616311</v>
      </c>
      <c r="N762" s="5">
        <f t="shared" si="776"/>
        <v>0.78048973769712338</v>
      </c>
      <c r="O762" s="5">
        <f t="shared" si="786"/>
        <v>-7.2465969687619536E-3</v>
      </c>
      <c r="P762" s="2">
        <f t="shared" ref="P762:R762" si="833">(L762/L755)-1</f>
        <v>3.4584460495283853E-3</v>
      </c>
      <c r="Q762" s="2">
        <f t="shared" si="833"/>
        <v>2.0116911500619672E-2</v>
      </c>
      <c r="R762" s="2">
        <f t="shared" si="833"/>
        <v>-7.6114288921569351E-4</v>
      </c>
      <c r="S762" s="3"/>
    </row>
    <row r="763" spans="3:19" x14ac:dyDescent="0.25">
      <c r="C763" s="1">
        <f t="shared" si="778"/>
        <v>44225</v>
      </c>
      <c r="D763">
        <v>64053</v>
      </c>
      <c r="E763">
        <v>37426</v>
      </c>
      <c r="F763">
        <v>25251</v>
      </c>
      <c r="G763">
        <v>19953</v>
      </c>
      <c r="H763">
        <f>'Total Traffic'!D761-'Page Sessions'!D763</f>
        <v>66722</v>
      </c>
      <c r="I763" s="2">
        <f t="shared" si="773"/>
        <v>0.31150765772094985</v>
      </c>
      <c r="J763" s="2">
        <f t="shared" si="785"/>
        <v>2.7594979814188569E-2</v>
      </c>
      <c r="K763" s="2">
        <f>D763/'Total Traffic'!D761</f>
        <v>0.48979545020072646</v>
      </c>
      <c r="L763" s="5">
        <f t="shared" si="774"/>
        <v>0.58429737873323651</v>
      </c>
      <c r="M763" s="5">
        <f t="shared" si="775"/>
        <v>0.67469139101159625</v>
      </c>
      <c r="N763" s="5">
        <f t="shared" si="776"/>
        <v>0.79018652726624683</v>
      </c>
      <c r="O763" s="5">
        <f t="shared" si="786"/>
        <v>2.7917111613714685E-2</v>
      </c>
      <c r="P763" s="2">
        <f t="shared" ref="P763:R763" si="834">(L763/L756)-1</f>
        <v>2.3117172143575226E-2</v>
      </c>
      <c r="Q763" s="2">
        <f t="shared" si="834"/>
        <v>-7.2210297593555683E-3</v>
      </c>
      <c r="R763" s="2">
        <f t="shared" si="834"/>
        <v>1.1682018269062455E-2</v>
      </c>
      <c r="S763" s="3"/>
    </row>
    <row r="764" spans="3:19" x14ac:dyDescent="0.25">
      <c r="C764" s="1">
        <f t="shared" si="778"/>
        <v>44226</v>
      </c>
      <c r="D764">
        <v>63953</v>
      </c>
      <c r="E764">
        <v>37770</v>
      </c>
      <c r="F764">
        <v>25305</v>
      </c>
      <c r="G764">
        <v>19884</v>
      </c>
      <c r="H764">
        <f>'Total Traffic'!D762-'Page Sessions'!D764</f>
        <v>66537</v>
      </c>
      <c r="I764" s="2">
        <f t="shared" si="773"/>
        <v>0.31091582881178365</v>
      </c>
      <c r="J764" s="2">
        <f t="shared" si="785"/>
        <v>-9.9241796807487681E-3</v>
      </c>
      <c r="K764" s="2">
        <f>D764/'Total Traffic'!D762</f>
        <v>0.49009885815004983</v>
      </c>
      <c r="L764" s="5">
        <f t="shared" si="774"/>
        <v>0.59058996450518353</v>
      </c>
      <c r="M764" s="5">
        <f t="shared" si="775"/>
        <v>0.66997617156473388</v>
      </c>
      <c r="N764" s="5">
        <f t="shared" si="776"/>
        <v>0.785773562537048</v>
      </c>
      <c r="O764" s="5">
        <f t="shared" si="786"/>
        <v>-1.9005228267639285E-2</v>
      </c>
      <c r="P764" s="2">
        <f t="shared" ref="P764:R764" si="835">(L764/L757)-1</f>
        <v>2.6246306393634899E-2</v>
      </c>
      <c r="Q764" s="2">
        <f t="shared" si="835"/>
        <v>-3.6975044291182146E-2</v>
      </c>
      <c r="R764" s="2">
        <f t="shared" si="835"/>
        <v>1.7960286498079903E-3</v>
      </c>
      <c r="S764" s="3"/>
    </row>
    <row r="765" spans="3:19" x14ac:dyDescent="0.25">
      <c r="C765" s="1">
        <f t="shared" si="778"/>
        <v>44227</v>
      </c>
      <c r="D765">
        <v>64623</v>
      </c>
      <c r="E765">
        <v>38095</v>
      </c>
      <c r="F765">
        <v>26601</v>
      </c>
      <c r="G765">
        <v>20796</v>
      </c>
      <c r="H765">
        <f>'Total Traffic'!D763-'Page Sessions'!D765</f>
        <v>65983</v>
      </c>
      <c r="I765" s="2">
        <f t="shared" si="773"/>
        <v>0.3218049301332343</v>
      </c>
      <c r="J765" s="2">
        <f t="shared" si="785"/>
        <v>-2.943781458311423E-3</v>
      </c>
      <c r="K765" s="2">
        <f>D765/'Total Traffic'!D763</f>
        <v>0.49479350106426961</v>
      </c>
      <c r="L765" s="5">
        <f t="shared" si="774"/>
        <v>0.58949599987620505</v>
      </c>
      <c r="M765" s="5">
        <f t="shared" si="775"/>
        <v>0.69828061425383914</v>
      </c>
      <c r="N765" s="5">
        <f t="shared" si="776"/>
        <v>0.78177512123604376</v>
      </c>
      <c r="O765" s="5">
        <f t="shared" si="786"/>
        <v>-8.8139807217071375E-3</v>
      </c>
      <c r="P765" s="2">
        <f t="shared" ref="P765:R765" si="836">(L765/L758)-1</f>
        <v>-4.2227225520723444E-3</v>
      </c>
      <c r="Q765" s="2">
        <f t="shared" si="836"/>
        <v>1.5270173869221804E-2</v>
      </c>
      <c r="R765" s="2">
        <f t="shared" si="836"/>
        <v>-1.3775455657049851E-2</v>
      </c>
      <c r="S765" s="3"/>
    </row>
    <row r="766" spans="3:19" x14ac:dyDescent="0.25">
      <c r="C766" s="1">
        <f t="shared" si="778"/>
        <v>44228</v>
      </c>
      <c r="D766">
        <v>63677</v>
      </c>
      <c r="E766">
        <v>36996</v>
      </c>
      <c r="F766">
        <v>25749</v>
      </c>
      <c r="G766">
        <v>19893</v>
      </c>
      <c r="H766">
        <f>'Total Traffic'!D764-'Page Sessions'!D766</f>
        <v>66597</v>
      </c>
      <c r="I766" s="2">
        <f t="shared" si="773"/>
        <v>0.31240479293936585</v>
      </c>
      <c r="J766" s="2">
        <f t="shared" si="785"/>
        <v>-9.2560344819886398E-3</v>
      </c>
      <c r="K766" s="2">
        <f>D766/'Total Traffic'!D764</f>
        <v>0.48879285198888495</v>
      </c>
      <c r="L766" s="5">
        <f t="shared" si="774"/>
        <v>0.58099470766524808</v>
      </c>
      <c r="M766" s="5">
        <f t="shared" si="775"/>
        <v>0.69599416153097637</v>
      </c>
      <c r="N766" s="5">
        <f t="shared" si="776"/>
        <v>0.77257369218222072</v>
      </c>
      <c r="O766" s="5">
        <f t="shared" si="786"/>
        <v>2.9483647418325987E-2</v>
      </c>
      <c r="P766" s="2">
        <f t="shared" ref="P766:R766" si="837">(L766/L759)-1</f>
        <v>2.5810604783780278E-3</v>
      </c>
      <c r="Q766" s="2">
        <f t="shared" si="837"/>
        <v>4.1810904404158133E-3</v>
      </c>
      <c r="R766" s="2">
        <f t="shared" si="837"/>
        <v>-1.5921144053811842E-2</v>
      </c>
      <c r="S766" s="3"/>
    </row>
    <row r="767" spans="3:19" x14ac:dyDescent="0.25">
      <c r="C767" s="1">
        <f t="shared" si="778"/>
        <v>44229</v>
      </c>
      <c r="D767">
        <v>62460</v>
      </c>
      <c r="E767">
        <v>36332</v>
      </c>
      <c r="F767">
        <v>24422</v>
      </c>
      <c r="G767">
        <v>18922</v>
      </c>
      <c r="H767">
        <f>'Total Traffic'!D765-'Page Sessions'!D767</f>
        <v>67964</v>
      </c>
      <c r="I767" s="2">
        <f t="shared" si="773"/>
        <v>0.30294588536663464</v>
      </c>
      <c r="J767" s="2">
        <f t="shared" si="785"/>
        <v>-3.3426611562241915E-2</v>
      </c>
      <c r="K767" s="2">
        <f>D767/'Total Traffic'!D765</f>
        <v>0.47889958903269336</v>
      </c>
      <c r="L767" s="5">
        <f t="shared" si="774"/>
        <v>0.58168427793788025</v>
      </c>
      <c r="M767" s="5">
        <f t="shared" si="775"/>
        <v>0.67218980513046356</v>
      </c>
      <c r="N767" s="5">
        <f t="shared" si="776"/>
        <v>0.77479321922856437</v>
      </c>
      <c r="O767" s="5">
        <f t="shared" si="786"/>
        <v>1.6875501061186515E-3</v>
      </c>
      <c r="P767" s="2">
        <f t="shared" ref="P767:R767" si="838">(L767/L760)-1</f>
        <v>6.027461993235006E-3</v>
      </c>
      <c r="Q767" s="2">
        <f t="shared" si="838"/>
        <v>-3.7225221680710407E-2</v>
      </c>
      <c r="R767" s="2">
        <f t="shared" si="838"/>
        <v>-2.0695065774297694E-3</v>
      </c>
      <c r="S767" s="3"/>
    </row>
    <row r="768" spans="3:19" x14ac:dyDescent="0.25">
      <c r="C768" s="1">
        <f t="shared" si="778"/>
        <v>44230</v>
      </c>
      <c r="D768">
        <v>64861</v>
      </c>
      <c r="E768">
        <v>37852</v>
      </c>
      <c r="F768">
        <v>26121</v>
      </c>
      <c r="G768">
        <v>20528</v>
      </c>
      <c r="H768">
        <f>'Total Traffic'!D766-'Page Sessions'!D768</f>
        <v>65935</v>
      </c>
      <c r="I768" s="2">
        <f t="shared" si="773"/>
        <v>0.31649219099304665</v>
      </c>
      <c r="J768" s="2">
        <f t="shared" si="785"/>
        <v>4.9525263015510301E-2</v>
      </c>
      <c r="K768" s="2">
        <f>D768/'Total Traffic'!D766</f>
        <v>0.49589436985840546</v>
      </c>
      <c r="L768" s="5">
        <f t="shared" si="774"/>
        <v>0.58358643869197202</v>
      </c>
      <c r="M768" s="5">
        <f t="shared" si="775"/>
        <v>0.69008242629187366</v>
      </c>
      <c r="N768" s="5">
        <f t="shared" si="776"/>
        <v>0.7858810918418131</v>
      </c>
      <c r="O768" s="5">
        <f t="shared" si="786"/>
        <v>3.0312400660907901E-3</v>
      </c>
      <c r="P768" s="2">
        <f t="shared" ref="P768:R768" si="839">(L768/L761)-1</f>
        <v>2.1871310710868119E-2</v>
      </c>
      <c r="Q768" s="2">
        <f t="shared" si="839"/>
        <v>6.2584836318504422E-3</v>
      </c>
      <c r="R768" s="2">
        <f t="shared" si="839"/>
        <v>2.0674196623800656E-2</v>
      </c>
      <c r="S768" s="3"/>
    </row>
    <row r="769" spans="3:19" x14ac:dyDescent="0.25">
      <c r="C769" s="1">
        <f t="shared" si="778"/>
        <v>44231</v>
      </c>
      <c r="D769">
        <v>63589</v>
      </c>
      <c r="E769">
        <v>36608</v>
      </c>
      <c r="F769">
        <v>24596</v>
      </c>
      <c r="G769">
        <v>19175</v>
      </c>
      <c r="H769">
        <f>'Total Traffic'!D767-'Page Sessions'!D769</f>
        <v>66718</v>
      </c>
      <c r="I769" s="2">
        <f t="shared" si="773"/>
        <v>0.30154586485083901</v>
      </c>
      <c r="J769" s="2">
        <f t="shared" si="785"/>
        <v>-3.8537435890862337E-2</v>
      </c>
      <c r="K769" s="2">
        <f>D769/'Total Traffic'!D767</f>
        <v>0.48799373786519529</v>
      </c>
      <c r="L769" s="5">
        <f t="shared" si="774"/>
        <v>0.57569705452200848</v>
      </c>
      <c r="M769" s="5">
        <f t="shared" si="775"/>
        <v>0.671875</v>
      </c>
      <c r="N769" s="5">
        <f t="shared" si="776"/>
        <v>0.77959830866807611</v>
      </c>
      <c r="O769" s="5">
        <f t="shared" si="786"/>
        <v>1.7299813790914165E-2</v>
      </c>
      <c r="P769" s="2">
        <f t="shared" ref="P769:R769" si="840">(L769/L762)-1</f>
        <v>-1.047539117927565E-2</v>
      </c>
      <c r="Q769" s="2">
        <f t="shared" si="840"/>
        <v>-2.7248098106030572E-2</v>
      </c>
      <c r="R769" s="2">
        <f t="shared" si="840"/>
        <v>-1.14214061504192E-3</v>
      </c>
      <c r="S769" s="3"/>
    </row>
    <row r="770" spans="3:19" x14ac:dyDescent="0.25">
      <c r="C770" s="1">
        <f t="shared" si="778"/>
        <v>44232</v>
      </c>
      <c r="D770">
        <v>65167</v>
      </c>
      <c r="E770">
        <v>38200</v>
      </c>
      <c r="F770">
        <v>26327</v>
      </c>
      <c r="G770">
        <v>20927</v>
      </c>
      <c r="H770">
        <f>'Total Traffic'!D768-'Page Sessions'!D770</f>
        <v>65560</v>
      </c>
      <c r="I770" s="2">
        <f t="shared" si="773"/>
        <v>0.32112879218009116</v>
      </c>
      <c r="J770" s="2">
        <f t="shared" si="785"/>
        <v>3.0885707688637298E-2</v>
      </c>
      <c r="K770" s="2">
        <f>D770/'Total Traffic'!D768</f>
        <v>0.49849686751780425</v>
      </c>
      <c r="L770" s="5">
        <f t="shared" si="774"/>
        <v>0.58618625991682904</v>
      </c>
      <c r="M770" s="5">
        <f t="shared" si="775"/>
        <v>0.68918848167539271</v>
      </c>
      <c r="N770" s="5">
        <f t="shared" si="776"/>
        <v>0.79488737797698183</v>
      </c>
      <c r="O770" s="5">
        <f t="shared" si="786"/>
        <v>1.7765410669927206E-2</v>
      </c>
      <c r="P770" s="2">
        <f t="shared" ref="P770:R770" si="841">(L770/L763)-1</f>
        <v>3.2327394445748059E-3</v>
      </c>
      <c r="Q770" s="2">
        <f t="shared" si="841"/>
        <v>2.1486995175765244E-2</v>
      </c>
      <c r="R770" s="2">
        <f t="shared" si="841"/>
        <v>5.9490393072103576E-3</v>
      </c>
      <c r="S770" s="3"/>
    </row>
    <row r="771" spans="3:19" x14ac:dyDescent="0.25">
      <c r="C771" s="1">
        <f t="shared" si="778"/>
        <v>44233</v>
      </c>
      <c r="D771">
        <v>64764</v>
      </c>
      <c r="E771">
        <v>37932</v>
      </c>
      <c r="F771">
        <v>25478</v>
      </c>
      <c r="G771">
        <v>19770</v>
      </c>
      <c r="H771">
        <f>'Total Traffic'!D769-'Page Sessions'!D771</f>
        <v>65546</v>
      </c>
      <c r="I771" s="2">
        <f t="shared" si="773"/>
        <v>0.30526218269408933</v>
      </c>
      <c r="J771" s="2">
        <f t="shared" si="785"/>
        <v>-1.818384782563387E-2</v>
      </c>
      <c r="K771" s="2">
        <f>D771/'Total Traffic'!D769</f>
        <v>0.49699946281943058</v>
      </c>
      <c r="L771" s="5">
        <f t="shared" si="774"/>
        <v>0.58569575690198261</v>
      </c>
      <c r="M771" s="5">
        <f t="shared" si="775"/>
        <v>0.67167563007487086</v>
      </c>
      <c r="N771" s="5">
        <f t="shared" si="776"/>
        <v>0.77596357641887115</v>
      </c>
      <c r="O771" s="5">
        <f t="shared" si="786"/>
        <v>1.40800260082794E-2</v>
      </c>
      <c r="P771" s="2">
        <f t="shared" ref="P771:R771" si="842">(L771/L764)-1</f>
        <v>-8.2869806419779701E-3</v>
      </c>
      <c r="Q771" s="2">
        <f t="shared" si="842"/>
        <v>2.5365954525933265E-3</v>
      </c>
      <c r="R771" s="2">
        <f t="shared" si="842"/>
        <v>-1.2484495007064278E-2</v>
      </c>
      <c r="S771" s="3"/>
    </row>
    <row r="772" spans="3:19" x14ac:dyDescent="0.25">
      <c r="C772" s="1">
        <f t="shared" si="778"/>
        <v>44234</v>
      </c>
      <c r="D772">
        <v>63072</v>
      </c>
      <c r="E772">
        <v>37666</v>
      </c>
      <c r="F772">
        <v>25646</v>
      </c>
      <c r="G772">
        <v>20137</v>
      </c>
      <c r="H772">
        <f>'Total Traffic'!D770-'Page Sessions'!D772</f>
        <v>67920</v>
      </c>
      <c r="I772" s="2">
        <f t="shared" si="773"/>
        <v>0.31927004058853375</v>
      </c>
      <c r="J772" s="2">
        <f t="shared" si="785"/>
        <v>-7.8770997810725385E-3</v>
      </c>
      <c r="K772" s="2">
        <f>D772/'Total Traffic'!D770</f>
        <v>0.48149505313301577</v>
      </c>
      <c r="L772" s="5">
        <f t="shared" si="774"/>
        <v>0.59719051243023846</v>
      </c>
      <c r="M772" s="5">
        <f t="shared" si="775"/>
        <v>0.68087930759836457</v>
      </c>
      <c r="N772" s="5">
        <f t="shared" si="776"/>
        <v>0.78519067300943612</v>
      </c>
      <c r="O772" s="5">
        <f t="shared" si="786"/>
        <v>-2.687676354408397E-2</v>
      </c>
      <c r="P772" s="2">
        <f t="shared" ref="P772:R772" si="843">(L772/L765)-1</f>
        <v>1.3052696804811692E-2</v>
      </c>
      <c r="Q772" s="2">
        <f t="shared" si="843"/>
        <v>-2.4920220181207653E-2</v>
      </c>
      <c r="R772" s="2">
        <f t="shared" si="843"/>
        <v>4.3689696443551806E-3</v>
      </c>
      <c r="S772" s="3"/>
    </row>
    <row r="773" spans="3:19" x14ac:dyDescent="0.25">
      <c r="C773" s="1">
        <f t="shared" si="778"/>
        <v>44235</v>
      </c>
      <c r="D773">
        <v>61464</v>
      </c>
      <c r="E773">
        <v>36128</v>
      </c>
      <c r="F773">
        <v>24238</v>
      </c>
      <c r="G773">
        <v>18714</v>
      </c>
      <c r="H773">
        <f>'Total Traffic'!D771-'Page Sessions'!D773</f>
        <v>69283</v>
      </c>
      <c r="I773" s="2">
        <f t="shared" ref="I773:I824" si="844">G773/D773</f>
        <v>0.30447090980085906</v>
      </c>
      <c r="J773" s="2">
        <f t="shared" si="785"/>
        <v>-2.5396163304212349E-2</v>
      </c>
      <c r="K773" s="2">
        <f>D773/'Total Traffic'!D771</f>
        <v>0.47009874031526538</v>
      </c>
      <c r="L773" s="5">
        <f t="shared" ref="L773:L824" si="845">E773/D773</f>
        <v>0.58779122738513601</v>
      </c>
      <c r="M773" s="5">
        <f t="shared" ref="M773:M824" si="846">F773/E773</f>
        <v>0.67089238263950401</v>
      </c>
      <c r="N773" s="5">
        <f t="shared" ref="N773:N824" si="847">G773/F773</f>
        <v>0.77209340704678608</v>
      </c>
      <c r="O773" s="5">
        <f t="shared" si="786"/>
        <v>-3.8245468601993071E-2</v>
      </c>
      <c r="P773" s="2">
        <f t="shared" ref="P773:R773" si="848">(L773/L766)-1</f>
        <v>1.1698075094694227E-2</v>
      </c>
      <c r="Q773" s="2">
        <f t="shared" si="848"/>
        <v>-3.6066076813426218E-2</v>
      </c>
      <c r="R773" s="2">
        <f t="shared" si="848"/>
        <v>-6.2166902690929948E-4</v>
      </c>
      <c r="S773" s="3"/>
    </row>
    <row r="774" spans="3:19" x14ac:dyDescent="0.25">
      <c r="C774" s="1">
        <f t="shared" ref="C774:C824" si="849">C773+1</f>
        <v>44236</v>
      </c>
      <c r="D774">
        <v>62075</v>
      </c>
      <c r="E774">
        <v>35444</v>
      </c>
      <c r="F774">
        <v>24587</v>
      </c>
      <c r="G774">
        <v>19526</v>
      </c>
      <c r="H774">
        <f>'Total Traffic'!D772-'Page Sessions'!D774</f>
        <v>68803</v>
      </c>
      <c r="I774" s="2">
        <f t="shared" si="844"/>
        <v>0.31455497382198955</v>
      </c>
      <c r="J774" s="2">
        <f t="shared" si="785"/>
        <v>3.832066720861782E-2</v>
      </c>
      <c r="K774" s="2">
        <f>D774/'Total Traffic'!D772</f>
        <v>0.47429667323767172</v>
      </c>
      <c r="L774" s="5">
        <f t="shared" si="845"/>
        <v>0.57098670962545306</v>
      </c>
      <c r="M774" s="5">
        <f t="shared" si="846"/>
        <v>0.69368581424218489</v>
      </c>
      <c r="N774" s="5">
        <f t="shared" si="847"/>
        <v>0.79415951519095462</v>
      </c>
      <c r="O774" s="5">
        <f t="shared" si="786"/>
        <v>-9.6114423575072161E-3</v>
      </c>
      <c r="P774" s="2">
        <f t="shared" ref="P774:R774" si="850">(L774/L767)-1</f>
        <v>-1.8390678101789071E-2</v>
      </c>
      <c r="Q774" s="2">
        <f t="shared" si="850"/>
        <v>3.1979076367498971E-2</v>
      </c>
      <c r="R774" s="2">
        <f t="shared" si="850"/>
        <v>2.4995438114020496E-2</v>
      </c>
      <c r="S774" s="3"/>
    </row>
    <row r="775" spans="3:19" x14ac:dyDescent="0.25">
      <c r="C775" s="1">
        <f t="shared" si="849"/>
        <v>44237</v>
      </c>
      <c r="D775">
        <v>62764</v>
      </c>
      <c r="E775">
        <v>37131</v>
      </c>
      <c r="F775">
        <v>25936</v>
      </c>
      <c r="G775">
        <v>20650</v>
      </c>
      <c r="H775">
        <f>'Total Traffic'!D773-'Page Sessions'!D775</f>
        <v>67561</v>
      </c>
      <c r="I775" s="2">
        <f t="shared" si="844"/>
        <v>0.32901026065897648</v>
      </c>
      <c r="J775" s="2">
        <f t="shared" si="785"/>
        <v>3.9552538805625259E-2</v>
      </c>
      <c r="K775" s="2">
        <f>D775/'Total Traffic'!D773</f>
        <v>0.48159600997506236</v>
      </c>
      <c r="L775" s="5">
        <f t="shared" si="845"/>
        <v>0.59159709387546999</v>
      </c>
      <c r="M775" s="5">
        <f t="shared" si="846"/>
        <v>0.69849990573913978</v>
      </c>
      <c r="N775" s="5">
        <f t="shared" si="847"/>
        <v>0.79619062307217769</v>
      </c>
      <c r="O775" s="5">
        <f t="shared" si="786"/>
        <v>-2.8833478967356996E-2</v>
      </c>
      <c r="P775" s="2">
        <f t="shared" ref="P775:R775" si="851">(L775/L768)-1</f>
        <v>1.3726595843201572E-2</v>
      </c>
      <c r="Q775" s="2">
        <f t="shared" si="851"/>
        <v>1.2197788447529501E-2</v>
      </c>
      <c r="R775" s="2">
        <f t="shared" si="851"/>
        <v>1.3118436538793521E-2</v>
      </c>
      <c r="S775" s="3"/>
    </row>
    <row r="776" spans="3:19" x14ac:dyDescent="0.25">
      <c r="C776" s="1">
        <f t="shared" si="849"/>
        <v>44238</v>
      </c>
      <c r="D776">
        <v>64947</v>
      </c>
      <c r="E776">
        <v>38513</v>
      </c>
      <c r="F776">
        <v>26281</v>
      </c>
      <c r="G776">
        <v>20988</v>
      </c>
      <c r="H776">
        <f>'Total Traffic'!D774-'Page Sessions'!D776</f>
        <v>65943</v>
      </c>
      <c r="I776" s="2">
        <f t="shared" si="844"/>
        <v>0.32315580396323157</v>
      </c>
      <c r="J776" s="2">
        <f t="shared" si="785"/>
        <v>7.166385492661953E-2</v>
      </c>
      <c r="K776" s="2">
        <f>D776/'Total Traffic'!D774</f>
        <v>0.4961952784781114</v>
      </c>
      <c r="L776" s="5">
        <f t="shared" si="845"/>
        <v>0.59299120821592988</v>
      </c>
      <c r="M776" s="5">
        <f t="shared" si="846"/>
        <v>0.68239295822189905</v>
      </c>
      <c r="N776" s="5">
        <f t="shared" si="847"/>
        <v>0.79859974886800356</v>
      </c>
      <c r="O776" s="5">
        <f t="shared" si="786"/>
        <v>1.6806651349246859E-2</v>
      </c>
      <c r="P776" s="2">
        <f t="shared" ref="P776:R776" si="852">(L776/L769)-1</f>
        <v>3.0040372029140228E-2</v>
      </c>
      <c r="Q776" s="2">
        <f t="shared" si="852"/>
        <v>1.5654635493059121E-2</v>
      </c>
      <c r="R776" s="2">
        <f t="shared" si="852"/>
        <v>2.4373372785262859E-2</v>
      </c>
      <c r="S776" s="3"/>
    </row>
    <row r="777" spans="3:19" x14ac:dyDescent="0.25">
      <c r="C777" s="1">
        <f t="shared" si="849"/>
        <v>44239</v>
      </c>
      <c r="D777">
        <v>63922</v>
      </c>
      <c r="E777">
        <v>36921</v>
      </c>
      <c r="F777">
        <v>25697</v>
      </c>
      <c r="G777">
        <v>20002</v>
      </c>
      <c r="H777">
        <f>'Total Traffic'!D775-'Page Sessions'!D777</f>
        <v>66611</v>
      </c>
      <c r="I777" s="2">
        <f t="shared" si="844"/>
        <v>0.312912612246175</v>
      </c>
      <c r="J777" s="2">
        <f t="shared" si="785"/>
        <v>-2.5585310735103617E-2</v>
      </c>
      <c r="K777" s="2">
        <f>D777/'Total Traffic'!D775</f>
        <v>0.48969992262493012</v>
      </c>
      <c r="L777" s="5">
        <f t="shared" si="845"/>
        <v>0.57759456838021339</v>
      </c>
      <c r="M777" s="5">
        <f t="shared" si="846"/>
        <v>0.69599956664229035</v>
      </c>
      <c r="N777" s="5">
        <f t="shared" si="847"/>
        <v>0.7783787990816049</v>
      </c>
      <c r="O777" s="5">
        <f t="shared" si="786"/>
        <v>-1.7646941166706398E-2</v>
      </c>
      <c r="P777" s="2">
        <f t="shared" ref="P777:R777" si="853">(L777/L770)-1</f>
        <v>-1.4656930952006042E-2</v>
      </c>
      <c r="Q777" s="2">
        <f t="shared" si="853"/>
        <v>9.8827608818130575E-3</v>
      </c>
      <c r="R777" s="2">
        <f t="shared" si="853"/>
        <v>-2.0768450163835661E-2</v>
      </c>
      <c r="S777" s="3"/>
    </row>
    <row r="778" spans="3:19" x14ac:dyDescent="0.25">
      <c r="C778" s="1">
        <f t="shared" si="849"/>
        <v>44240</v>
      </c>
      <c r="D778">
        <v>63311</v>
      </c>
      <c r="E778">
        <v>37784</v>
      </c>
      <c r="F778">
        <v>26395</v>
      </c>
      <c r="G778">
        <v>20456</v>
      </c>
      <c r="H778">
        <f>'Total Traffic'!D776-'Page Sessions'!D778</f>
        <v>67417</v>
      </c>
      <c r="I778" s="2">
        <f t="shared" si="844"/>
        <v>0.32310341014989497</v>
      </c>
      <c r="J778" s="2">
        <f t="shared" si="785"/>
        <v>5.8445586997865284E-2</v>
      </c>
      <c r="K778" s="2">
        <f>D778/'Total Traffic'!D776</f>
        <v>0.48429563674193749</v>
      </c>
      <c r="L778" s="5">
        <f t="shared" si="845"/>
        <v>0.59679992418379113</v>
      </c>
      <c r="M778" s="5">
        <f t="shared" si="846"/>
        <v>0.69857611687486765</v>
      </c>
      <c r="N778" s="5">
        <f t="shared" si="847"/>
        <v>0.77499526425459364</v>
      </c>
      <c r="O778" s="5">
        <f t="shared" si="786"/>
        <v>-2.5561045892133372E-2</v>
      </c>
      <c r="P778" s="2">
        <f t="shared" ref="P778:R778" si="854">(L778/L771)-1</f>
        <v>1.8958934141069417E-2</v>
      </c>
      <c r="Q778" s="2">
        <f t="shared" si="854"/>
        <v>4.0049818090017952E-2</v>
      </c>
      <c r="R778" s="2">
        <f t="shared" si="854"/>
        <v>-1.2478835266293009E-3</v>
      </c>
      <c r="S778" s="3"/>
    </row>
    <row r="779" spans="3:19" x14ac:dyDescent="0.25">
      <c r="C779" s="1">
        <f t="shared" si="849"/>
        <v>44241</v>
      </c>
      <c r="D779">
        <v>62004</v>
      </c>
      <c r="E779">
        <v>36148</v>
      </c>
      <c r="F779">
        <v>24309</v>
      </c>
      <c r="G779">
        <v>19080</v>
      </c>
      <c r="H779">
        <f>'Total Traffic'!D777-'Page Sessions'!D779</f>
        <v>68697</v>
      </c>
      <c r="I779" s="2">
        <f t="shared" si="844"/>
        <v>0.30772208244629379</v>
      </c>
      <c r="J779" s="2">
        <f t="shared" si="785"/>
        <v>-3.6169877138966022E-2</v>
      </c>
      <c r="K779" s="2">
        <f>D779/'Total Traffic'!D777</f>
        <v>0.47439575825739666</v>
      </c>
      <c r="L779" s="5">
        <f t="shared" si="845"/>
        <v>0.58299464550674152</v>
      </c>
      <c r="M779" s="5">
        <f t="shared" si="846"/>
        <v>0.67248533805466415</v>
      </c>
      <c r="N779" s="5">
        <f t="shared" si="847"/>
        <v>0.78489448352462055</v>
      </c>
      <c r="O779" s="5">
        <f t="shared" si="786"/>
        <v>-1.4744273756137405E-2</v>
      </c>
      <c r="P779" s="2">
        <f t="shared" ref="P779:R779" si="855">(L779/L772)-1</f>
        <v>-2.3771085822726024E-2</v>
      </c>
      <c r="Q779" s="2">
        <f t="shared" si="855"/>
        <v>-1.2328131359004124E-2</v>
      </c>
      <c r="R779" s="2">
        <f t="shared" si="855"/>
        <v>-3.7721982060789916E-4</v>
      </c>
      <c r="S779" s="3"/>
    </row>
    <row r="780" spans="3:19" x14ac:dyDescent="0.25">
      <c r="C780" s="1">
        <f t="shared" si="849"/>
        <v>44242</v>
      </c>
      <c r="D780">
        <v>61943</v>
      </c>
      <c r="E780">
        <v>35536</v>
      </c>
      <c r="F780">
        <v>24420</v>
      </c>
      <c r="G780">
        <v>27029</v>
      </c>
      <c r="H780">
        <f>'Total Traffic'!D778-'Page Sessions'!D780</f>
        <v>68795</v>
      </c>
      <c r="I780" s="2">
        <f t="shared" si="844"/>
        <v>0.43635277593916988</v>
      </c>
      <c r="J780" s="2">
        <f t="shared" ref="J780:J824" si="856">(I780/I773)-1</f>
        <v>0.43315095758924516</v>
      </c>
      <c r="K780" s="2">
        <f>D780/'Total Traffic'!D778</f>
        <v>0.47379491808043567</v>
      </c>
      <c r="L780" s="5">
        <f t="shared" si="845"/>
        <v>0.57368871381754194</v>
      </c>
      <c r="M780" s="5">
        <f t="shared" si="846"/>
        <v>0.68719045475011253</v>
      </c>
      <c r="N780" s="5">
        <f t="shared" si="847"/>
        <v>1.1068386568386568</v>
      </c>
      <c r="O780" s="5">
        <f t="shared" ref="O780:O824" si="857">(K780/K773)-1</f>
        <v>7.8625561997709426E-3</v>
      </c>
      <c r="P780" s="2">
        <f t="shared" ref="P780:R780" si="858">(L780/L773)-1</f>
        <v>-2.3992385239110958E-2</v>
      </c>
      <c r="Q780" s="2">
        <f t="shared" si="858"/>
        <v>2.4293124400200705E-2</v>
      </c>
      <c r="R780" s="2">
        <f t="shared" si="858"/>
        <v>0.43355537909882247</v>
      </c>
      <c r="S780" s="3"/>
    </row>
    <row r="781" spans="3:19" x14ac:dyDescent="0.25">
      <c r="C781" s="1">
        <f t="shared" si="849"/>
        <v>44243</v>
      </c>
      <c r="D781">
        <v>61531</v>
      </c>
      <c r="E781">
        <v>36383</v>
      </c>
      <c r="F781">
        <v>24714</v>
      </c>
      <c r="G781">
        <v>19140</v>
      </c>
      <c r="H781">
        <f>'Total Traffic'!D779-'Page Sessions'!D781</f>
        <v>69164</v>
      </c>
      <c r="I781" s="2">
        <f t="shared" si="844"/>
        <v>0.31106271635435795</v>
      </c>
      <c r="J781" s="2">
        <f t="shared" si="856"/>
        <v>-1.1102216649760854E-2</v>
      </c>
      <c r="K781" s="2">
        <f>D781/'Total Traffic'!D779</f>
        <v>0.47079842381116338</v>
      </c>
      <c r="L781" s="5">
        <f t="shared" si="845"/>
        <v>0.59129544457265448</v>
      </c>
      <c r="M781" s="5">
        <f t="shared" si="846"/>
        <v>0.67927328697468603</v>
      </c>
      <c r="N781" s="5">
        <f t="shared" si="847"/>
        <v>0.77445982034474392</v>
      </c>
      <c r="O781" s="5">
        <f t="shared" si="857"/>
        <v>-7.3756566805084356E-3</v>
      </c>
      <c r="P781" s="2">
        <f t="shared" ref="P781:R781" si="859">(L781/L774)-1</f>
        <v>3.5567789240704473E-2</v>
      </c>
      <c r="Q781" s="2">
        <f t="shared" si="859"/>
        <v>-2.0776736343158131E-2</v>
      </c>
      <c r="R781" s="2">
        <f t="shared" si="859"/>
        <v>-2.480571531208553E-2</v>
      </c>
      <c r="S781" s="3"/>
    </row>
    <row r="782" spans="3:19" x14ac:dyDescent="0.25">
      <c r="C782" s="1">
        <f t="shared" si="849"/>
        <v>44244</v>
      </c>
      <c r="D782">
        <v>61665</v>
      </c>
      <c r="E782">
        <v>35278</v>
      </c>
      <c r="F782">
        <v>23816</v>
      </c>
      <c r="G782">
        <v>18531</v>
      </c>
      <c r="H782">
        <f>'Total Traffic'!D780-'Page Sessions'!D782</f>
        <v>68817</v>
      </c>
      <c r="I782" s="2">
        <f t="shared" si="844"/>
        <v>0.30051082461688156</v>
      </c>
      <c r="J782" s="2">
        <f t="shared" si="856"/>
        <v>-8.6621724152350921E-2</v>
      </c>
      <c r="K782" s="2">
        <f>D782/'Total Traffic'!D780</f>
        <v>0.47259392100059777</v>
      </c>
      <c r="L782" s="5">
        <f t="shared" si="845"/>
        <v>0.57209113759831343</v>
      </c>
      <c r="M782" s="5">
        <f t="shared" si="846"/>
        <v>0.67509496003174785</v>
      </c>
      <c r="N782" s="5">
        <f t="shared" si="847"/>
        <v>0.77809035942223714</v>
      </c>
      <c r="O782" s="5">
        <f t="shared" si="857"/>
        <v>-1.8692200076430687E-2</v>
      </c>
      <c r="P782" s="2">
        <f t="shared" ref="P782:R782" si="860">(L782/L775)-1</f>
        <v>-3.2971690495258832E-2</v>
      </c>
      <c r="Q782" s="2">
        <f t="shared" si="860"/>
        <v>-3.3507442900260975E-2</v>
      </c>
      <c r="R782" s="2">
        <f t="shared" si="860"/>
        <v>-2.2733580533891407E-2</v>
      </c>
      <c r="S782" s="3"/>
    </row>
    <row r="783" spans="3:19" x14ac:dyDescent="0.25">
      <c r="C783" s="1">
        <f t="shared" si="849"/>
        <v>44245</v>
      </c>
      <c r="D783">
        <v>63972</v>
      </c>
      <c r="E783">
        <v>37180</v>
      </c>
      <c r="F783">
        <v>25025</v>
      </c>
      <c r="G783">
        <v>19359</v>
      </c>
      <c r="H783">
        <f>'Total Traffic'!D781-'Page Sessions'!D783</f>
        <v>66851</v>
      </c>
      <c r="I783" s="2">
        <f t="shared" si="844"/>
        <v>0.30261676983680358</v>
      </c>
      <c r="J783" s="2">
        <f t="shared" si="856"/>
        <v>-6.3557682933539139E-2</v>
      </c>
      <c r="K783" s="2">
        <f>D783/'Total Traffic'!D781</f>
        <v>0.48899658316962613</v>
      </c>
      <c r="L783" s="5">
        <f t="shared" si="845"/>
        <v>0.58119177139998746</v>
      </c>
      <c r="M783" s="5">
        <f t="shared" si="846"/>
        <v>0.67307692307692313</v>
      </c>
      <c r="N783" s="5">
        <f t="shared" si="847"/>
        <v>0.77358641358641356</v>
      </c>
      <c r="O783" s="5">
        <f t="shared" si="857"/>
        <v>-1.4507786794272781E-2</v>
      </c>
      <c r="P783" s="2">
        <f t="shared" ref="P783:R783" si="861">(L783/L776)-1</f>
        <v>-1.9898164850440381E-2</v>
      </c>
      <c r="Q783" s="2">
        <f t="shared" si="861"/>
        <v>-1.3652009495013773E-2</v>
      </c>
      <c r="R783" s="2">
        <f t="shared" si="861"/>
        <v>-3.1321491544476165E-2</v>
      </c>
      <c r="S783" s="3"/>
    </row>
    <row r="784" spans="3:19" x14ac:dyDescent="0.25">
      <c r="C784" s="1">
        <f t="shared" si="849"/>
        <v>44246</v>
      </c>
      <c r="D784">
        <v>64963</v>
      </c>
      <c r="E784">
        <v>37412</v>
      </c>
      <c r="F784">
        <v>25571</v>
      </c>
      <c r="G784">
        <v>20206</v>
      </c>
      <c r="H784">
        <f>'Total Traffic'!D782-'Page Sessions'!D784</f>
        <v>65224</v>
      </c>
      <c r="I784" s="2">
        <f t="shared" si="844"/>
        <v>0.31103859119806659</v>
      </c>
      <c r="J784" s="2">
        <f t="shared" si="856"/>
        <v>-5.9889597758816526E-3</v>
      </c>
      <c r="K784" s="2">
        <f>D784/'Total Traffic'!D782</f>
        <v>0.49899759576609032</v>
      </c>
      <c r="L784" s="5">
        <f t="shared" si="845"/>
        <v>0.57589704908948169</v>
      </c>
      <c r="M784" s="5">
        <f t="shared" si="846"/>
        <v>0.68349727360205281</v>
      </c>
      <c r="N784" s="5">
        <f t="shared" si="847"/>
        <v>0.7901920143913026</v>
      </c>
      <c r="O784" s="5">
        <f t="shared" si="857"/>
        <v>1.8986470513048248E-2</v>
      </c>
      <c r="P784" s="2">
        <f t="shared" ref="P784:R784" si="862">(L784/L777)-1</f>
        <v>-2.938946076816773E-3</v>
      </c>
      <c r="Q784" s="2">
        <f t="shared" si="862"/>
        <v>-1.7963075897521552E-2</v>
      </c>
      <c r="R784" s="2">
        <f t="shared" si="862"/>
        <v>1.5176692021462879E-2</v>
      </c>
      <c r="S784" s="3"/>
    </row>
    <row r="785" spans="3:19" x14ac:dyDescent="0.25">
      <c r="C785" s="1">
        <f t="shared" si="849"/>
        <v>44247</v>
      </c>
      <c r="D785">
        <v>61562</v>
      </c>
      <c r="E785">
        <v>36093</v>
      </c>
      <c r="F785">
        <v>24795</v>
      </c>
      <c r="G785">
        <v>19607</v>
      </c>
      <c r="H785">
        <f>'Total Traffic'!D783-'Page Sessions'!D785</f>
        <v>68729</v>
      </c>
      <c r="I785" s="2">
        <f t="shared" si="844"/>
        <v>0.3184919268379845</v>
      </c>
      <c r="J785" s="2">
        <f t="shared" si="856"/>
        <v>-1.4272468711398312E-2</v>
      </c>
      <c r="K785" s="2">
        <f>D785/'Total Traffic'!D783</f>
        <v>0.47249618162421042</v>
      </c>
      <c r="L785" s="5">
        <f t="shared" si="845"/>
        <v>0.5862869952243267</v>
      </c>
      <c r="M785" s="5">
        <f t="shared" si="846"/>
        <v>0.68697531377275367</v>
      </c>
      <c r="N785" s="5">
        <f t="shared" si="847"/>
        <v>0.79076426698931235</v>
      </c>
      <c r="O785" s="5">
        <f t="shared" si="857"/>
        <v>-2.4364157391768004E-2</v>
      </c>
      <c r="P785" s="2">
        <f t="shared" ref="P785:R785" si="863">(L785/L778)-1</f>
        <v>-1.7615499824069736E-2</v>
      </c>
      <c r="Q785" s="2">
        <f t="shared" si="863"/>
        <v>-1.6606355158563124E-2</v>
      </c>
      <c r="R785" s="2">
        <f t="shared" si="863"/>
        <v>2.034722463741212E-2</v>
      </c>
      <c r="S785" s="3"/>
    </row>
    <row r="786" spans="3:19" x14ac:dyDescent="0.25">
      <c r="C786" s="1">
        <f t="shared" si="849"/>
        <v>44248</v>
      </c>
      <c r="D786">
        <v>61892</v>
      </c>
      <c r="E786">
        <v>36256</v>
      </c>
      <c r="F786">
        <v>24791</v>
      </c>
      <c r="G786">
        <v>19309</v>
      </c>
      <c r="H786">
        <f>'Total Traffic'!D784-'Page Sessions'!D786</f>
        <v>68600</v>
      </c>
      <c r="I786" s="2">
        <f t="shared" si="844"/>
        <v>0.31197893104116847</v>
      </c>
      <c r="J786" s="2">
        <f t="shared" si="856"/>
        <v>1.3833419301709116E-2</v>
      </c>
      <c r="K786" s="2">
        <f>D786/'Total Traffic'!D784</f>
        <v>0.47429727492873125</v>
      </c>
      <c r="L786" s="5">
        <f t="shared" si="845"/>
        <v>0.58579460996574684</v>
      </c>
      <c r="M786" s="5">
        <f t="shared" si="846"/>
        <v>0.68377647837599298</v>
      </c>
      <c r="N786" s="5">
        <f t="shared" si="847"/>
        <v>0.7788713646081239</v>
      </c>
      <c r="O786" s="5">
        <f t="shared" si="857"/>
        <v>-2.075974056495733E-4</v>
      </c>
      <c r="P786" s="2">
        <f t="shared" ref="P786:R786" si="864">(L786/L779)-1</f>
        <v>4.8027275732036578E-3</v>
      </c>
      <c r="Q786" s="2">
        <f t="shared" si="864"/>
        <v>1.6790165796017664E-2</v>
      </c>
      <c r="R786" s="2">
        <f t="shared" si="864"/>
        <v>-7.6737944308761241E-3</v>
      </c>
      <c r="S786" s="3"/>
    </row>
    <row r="787" spans="3:19" x14ac:dyDescent="0.25">
      <c r="C787" s="1">
        <f t="shared" si="849"/>
        <v>44249</v>
      </c>
      <c r="D787">
        <v>63417</v>
      </c>
      <c r="E787">
        <v>37929</v>
      </c>
      <c r="F787">
        <v>26053</v>
      </c>
      <c r="G787">
        <v>20269</v>
      </c>
      <c r="H787">
        <f>'Total Traffic'!D785-'Page Sessions'!D787</f>
        <v>67421</v>
      </c>
      <c r="I787" s="2">
        <f t="shared" si="844"/>
        <v>0.31961461437784822</v>
      </c>
      <c r="J787" s="2">
        <f t="shared" si="856"/>
        <v>-0.26753161203126075</v>
      </c>
      <c r="K787" s="2">
        <f>D787/'Total Traffic'!D785</f>
        <v>0.48469863495314819</v>
      </c>
      <c r="L787" s="5">
        <f t="shared" si="845"/>
        <v>0.59808884053171862</v>
      </c>
      <c r="M787" s="5">
        <f t="shared" si="846"/>
        <v>0.68688866039178464</v>
      </c>
      <c r="N787" s="5">
        <f t="shared" si="847"/>
        <v>0.77799101830883199</v>
      </c>
      <c r="O787" s="5">
        <f t="shared" si="857"/>
        <v>2.3013579201922596E-2</v>
      </c>
      <c r="P787" s="2">
        <f t="shared" ref="P787:R787" si="865">(L787/L780)-1</f>
        <v>4.2531997103113728E-2</v>
      </c>
      <c r="Q787" s="2">
        <f t="shared" si="865"/>
        <v>-4.3917134797455404E-4</v>
      </c>
      <c r="R787" s="2">
        <f t="shared" si="865"/>
        <v>-0.2971053066298539</v>
      </c>
      <c r="S787" s="3"/>
    </row>
    <row r="788" spans="3:19" x14ac:dyDescent="0.25">
      <c r="C788" s="1">
        <f t="shared" si="849"/>
        <v>44250</v>
      </c>
      <c r="D788">
        <v>64498</v>
      </c>
      <c r="E788">
        <v>38311</v>
      </c>
      <c r="F788">
        <v>26101</v>
      </c>
      <c r="G788">
        <v>20815</v>
      </c>
      <c r="H788">
        <f>'Total Traffic'!D786-'Page Sessions'!D788</f>
        <v>66384</v>
      </c>
      <c r="I788" s="2">
        <f t="shared" si="844"/>
        <v>0.32272318521504545</v>
      </c>
      <c r="J788" s="2">
        <f t="shared" si="856"/>
        <v>3.7485909585525778E-2</v>
      </c>
      <c r="K788" s="2">
        <f>D788/'Total Traffic'!D786</f>
        <v>0.49279503675066089</v>
      </c>
      <c r="L788" s="5">
        <f t="shared" si="845"/>
        <v>0.59398741046233994</v>
      </c>
      <c r="M788" s="5">
        <f t="shared" si="846"/>
        <v>0.68129257915481189</v>
      </c>
      <c r="N788" s="5">
        <f t="shared" si="847"/>
        <v>0.79747902379219182</v>
      </c>
      <c r="O788" s="5">
        <f t="shared" si="857"/>
        <v>4.6721934116585651E-2</v>
      </c>
      <c r="P788" s="2">
        <f t="shared" ref="P788:R788" si="866">(L788/L781)-1</f>
        <v>4.5526579215082741E-3</v>
      </c>
      <c r="Q788" s="2">
        <f t="shared" si="866"/>
        <v>2.9727242611281568E-3</v>
      </c>
      <c r="R788" s="2">
        <f t="shared" si="866"/>
        <v>2.9722915047033727E-2</v>
      </c>
      <c r="S788" s="3"/>
    </row>
    <row r="789" spans="3:19" x14ac:dyDescent="0.25">
      <c r="C789" s="1">
        <f t="shared" si="849"/>
        <v>44251</v>
      </c>
      <c r="D789">
        <v>63480</v>
      </c>
      <c r="E789">
        <v>37707</v>
      </c>
      <c r="F789">
        <v>25554</v>
      </c>
      <c r="G789">
        <v>20172</v>
      </c>
      <c r="H789">
        <f>'Total Traffic'!D787-'Page Sessions'!D789</f>
        <v>66870</v>
      </c>
      <c r="I789" s="2">
        <f t="shared" si="844"/>
        <v>0.31776937618147449</v>
      </c>
      <c r="J789" s="2">
        <f t="shared" si="856"/>
        <v>5.7430715138450328E-2</v>
      </c>
      <c r="K789" s="2">
        <f>D789/'Total Traffic'!D787</f>
        <v>0.48699654775604145</v>
      </c>
      <c r="L789" s="5">
        <f t="shared" si="845"/>
        <v>0.59399810964083177</v>
      </c>
      <c r="M789" s="5">
        <f t="shared" si="846"/>
        <v>0.67769910096268593</v>
      </c>
      <c r="N789" s="5">
        <f t="shared" si="847"/>
        <v>0.78938718008922282</v>
      </c>
      <c r="O789" s="5">
        <f t="shared" si="857"/>
        <v>3.0475691953357753E-2</v>
      </c>
      <c r="P789" s="2">
        <f t="shared" ref="P789:R789" si="867">(L789/L782)-1</f>
        <v>3.8292800924142334E-2</v>
      </c>
      <c r="Q789" s="2">
        <f t="shared" si="867"/>
        <v>3.8574438932497124E-3</v>
      </c>
      <c r="R789" s="2">
        <f t="shared" si="867"/>
        <v>1.4518648804971779E-2</v>
      </c>
      <c r="S789" s="3"/>
    </row>
    <row r="790" spans="3:19" x14ac:dyDescent="0.25">
      <c r="C790" s="1">
        <f t="shared" si="849"/>
        <v>44252</v>
      </c>
      <c r="D790">
        <v>62888</v>
      </c>
      <c r="E790">
        <v>36003</v>
      </c>
      <c r="F790">
        <v>25083</v>
      </c>
      <c r="G790">
        <v>19356</v>
      </c>
      <c r="H790">
        <f>'Total Traffic'!D788-'Page Sessions'!D790</f>
        <v>67424</v>
      </c>
      <c r="I790" s="2">
        <f t="shared" si="844"/>
        <v>0.30778526904973924</v>
      </c>
      <c r="J790" s="2">
        <f t="shared" si="856"/>
        <v>1.707935490727408E-2</v>
      </c>
      <c r="K790" s="2">
        <f>D790/'Total Traffic'!D788</f>
        <v>0.48259561667382894</v>
      </c>
      <c r="L790" s="5">
        <f t="shared" si="845"/>
        <v>0.5724939575117669</v>
      </c>
      <c r="M790" s="5">
        <f t="shared" si="846"/>
        <v>0.69669194233813847</v>
      </c>
      <c r="N790" s="5">
        <f t="shared" si="847"/>
        <v>0.77167802894390625</v>
      </c>
      <c r="O790" s="5">
        <f t="shared" si="857"/>
        <v>-1.3090002499213327E-2</v>
      </c>
      <c r="P790" s="2">
        <f t="shared" ref="P790:R790" si="868">(L790/L783)-1</f>
        <v>-1.4965480098365957E-2</v>
      </c>
      <c r="Q790" s="2">
        <f t="shared" si="868"/>
        <v>3.5085171473805632E-2</v>
      </c>
      <c r="R790" s="2">
        <f t="shared" si="868"/>
        <v>-2.4669314364763606E-3</v>
      </c>
      <c r="S790" s="3"/>
    </row>
    <row r="791" spans="3:19" x14ac:dyDescent="0.25">
      <c r="C791" s="1">
        <f t="shared" si="849"/>
        <v>44253</v>
      </c>
      <c r="D791">
        <v>63798</v>
      </c>
      <c r="E791">
        <v>36492</v>
      </c>
      <c r="F791">
        <v>25026</v>
      </c>
      <c r="G791">
        <v>19272</v>
      </c>
      <c r="H791">
        <f>'Total Traffic'!D789-'Page Sessions'!D791</f>
        <v>66377</v>
      </c>
      <c r="I791" s="2">
        <f t="shared" si="844"/>
        <v>0.30207843506066023</v>
      </c>
      <c r="J791" s="2">
        <f t="shared" si="856"/>
        <v>-2.8807216824424886E-2</v>
      </c>
      <c r="K791" s="2">
        <f>D791/'Total Traffic'!D789</f>
        <v>0.49009410409064719</v>
      </c>
      <c r="L791" s="5">
        <f t="shared" si="845"/>
        <v>0.57199285244051534</v>
      </c>
      <c r="M791" s="5">
        <f t="shared" si="846"/>
        <v>0.68579414666228211</v>
      </c>
      <c r="N791" s="5">
        <f t="shared" si="847"/>
        <v>0.77007911771757376</v>
      </c>
      <c r="O791" s="5">
        <f t="shared" si="857"/>
        <v>-1.7842754656510862E-2</v>
      </c>
      <c r="P791" s="2">
        <f t="shared" ref="P791:R791" si="869">(L791/L784)-1</f>
        <v>-6.7793308806479713E-3</v>
      </c>
      <c r="Q791" s="2">
        <f t="shared" si="869"/>
        <v>3.3604714297172933E-3</v>
      </c>
      <c r="R791" s="2">
        <f t="shared" si="869"/>
        <v>-2.545317632603783E-2</v>
      </c>
      <c r="S791" s="3"/>
    </row>
    <row r="792" spans="3:19" x14ac:dyDescent="0.25">
      <c r="C792" s="1">
        <f t="shared" si="849"/>
        <v>44254</v>
      </c>
      <c r="D792">
        <v>62848</v>
      </c>
      <c r="E792">
        <v>37262</v>
      </c>
      <c r="F792">
        <v>25338</v>
      </c>
      <c r="G792">
        <v>19576</v>
      </c>
      <c r="H792">
        <f>'Total Traffic'!D790-'Page Sessions'!D792</f>
        <v>68168</v>
      </c>
      <c r="I792" s="2">
        <f t="shared" si="844"/>
        <v>0.31148167006109978</v>
      </c>
      <c r="J792" s="2">
        <f t="shared" si="856"/>
        <v>-2.2010783276308343E-2</v>
      </c>
      <c r="K792" s="2">
        <f>D792/'Total Traffic'!D790</f>
        <v>0.47969713622763632</v>
      </c>
      <c r="L792" s="5">
        <f t="shared" si="845"/>
        <v>0.59289078411405294</v>
      </c>
      <c r="M792" s="5">
        <f t="shared" si="846"/>
        <v>0.67999570608126236</v>
      </c>
      <c r="N792" s="5">
        <f t="shared" si="847"/>
        <v>0.77259452206172552</v>
      </c>
      <c r="O792" s="5">
        <f t="shared" si="857"/>
        <v>1.5240238722506794E-2</v>
      </c>
      <c r="P792" s="2">
        <f t="shared" ref="P792:R792" si="870">(L792/L785)-1</f>
        <v>1.1263747863278883E-2</v>
      </c>
      <c r="Q792" s="2">
        <f t="shared" si="870"/>
        <v>-1.0159910482314793E-2</v>
      </c>
      <c r="R792" s="2">
        <f t="shared" si="870"/>
        <v>-2.2977448129724909E-2</v>
      </c>
      <c r="S792" s="3"/>
    </row>
    <row r="793" spans="3:19" x14ac:dyDescent="0.25">
      <c r="C793" s="1">
        <f t="shared" si="849"/>
        <v>44255</v>
      </c>
      <c r="D793">
        <v>63293</v>
      </c>
      <c r="E793">
        <v>37488</v>
      </c>
      <c r="F793">
        <v>25296</v>
      </c>
      <c r="G793">
        <v>20165</v>
      </c>
      <c r="H793">
        <f>'Total Traffic'!D791-'Page Sessions'!D793</f>
        <v>67075</v>
      </c>
      <c r="I793" s="2">
        <f t="shared" si="844"/>
        <v>0.31859763322958307</v>
      </c>
      <c r="J793" s="2">
        <f t="shared" si="856"/>
        <v>2.121522170207446E-2</v>
      </c>
      <c r="K793" s="2">
        <f>D793/'Total Traffic'!D791</f>
        <v>0.48549490672557682</v>
      </c>
      <c r="L793" s="5">
        <f t="shared" si="845"/>
        <v>0.59229298658619434</v>
      </c>
      <c r="M793" s="5">
        <f t="shared" si="846"/>
        <v>0.67477592829705502</v>
      </c>
      <c r="N793" s="5">
        <f t="shared" si="847"/>
        <v>0.79716160657811508</v>
      </c>
      <c r="O793" s="5">
        <f t="shared" si="857"/>
        <v>2.3608889168777347E-2</v>
      </c>
      <c r="P793" s="2">
        <f t="shared" ref="P793:R793" si="871">(L793/L786)-1</f>
        <v>1.1093268032676962E-2</v>
      </c>
      <c r="Q793" s="2">
        <f t="shared" si="871"/>
        <v>-1.3163000430074456E-2</v>
      </c>
      <c r="R793" s="2">
        <f t="shared" si="871"/>
        <v>2.3483007337410156E-2</v>
      </c>
      <c r="S793" s="3"/>
    </row>
    <row r="794" spans="3:19" x14ac:dyDescent="0.25">
      <c r="C794" s="1">
        <f t="shared" si="849"/>
        <v>44256</v>
      </c>
      <c r="D794">
        <v>63970</v>
      </c>
      <c r="E794">
        <v>37774</v>
      </c>
      <c r="F794">
        <v>26438</v>
      </c>
      <c r="G794">
        <v>20743</v>
      </c>
      <c r="H794">
        <f>'Total Traffic'!D792-'Page Sessions'!D794</f>
        <v>66636</v>
      </c>
      <c r="I794" s="2">
        <f t="shared" si="844"/>
        <v>0.32426137251836801</v>
      </c>
      <c r="J794" s="2">
        <f t="shared" si="856"/>
        <v>1.4538628496588046E-2</v>
      </c>
      <c r="K794" s="2">
        <f>D794/'Total Traffic'!D792</f>
        <v>0.48979373076275207</v>
      </c>
      <c r="L794" s="5">
        <f t="shared" si="845"/>
        <v>0.5904955447866187</v>
      </c>
      <c r="M794" s="5">
        <f t="shared" si="846"/>
        <v>0.69989940170487641</v>
      </c>
      <c r="N794" s="5">
        <f t="shared" si="847"/>
        <v>0.78459036235721313</v>
      </c>
      <c r="O794" s="5">
        <f t="shared" si="857"/>
        <v>1.0511883967027069E-2</v>
      </c>
      <c r="P794" s="2">
        <f t="shared" ref="P794:R794" si="872">(L794/L787)-1</f>
        <v>-1.2695932828890921E-2</v>
      </c>
      <c r="Q794" s="2">
        <f t="shared" si="872"/>
        <v>1.8941557872961257E-2</v>
      </c>
      <c r="R794" s="2">
        <f t="shared" si="872"/>
        <v>8.4825452904668808E-3</v>
      </c>
      <c r="S794" s="3"/>
    </row>
    <row r="795" spans="3:19" x14ac:dyDescent="0.25">
      <c r="C795" s="1">
        <f t="shared" si="849"/>
        <v>44257</v>
      </c>
      <c r="D795">
        <v>63088</v>
      </c>
      <c r="E795">
        <v>37240</v>
      </c>
      <c r="F795">
        <v>26023</v>
      </c>
      <c r="G795">
        <v>20042</v>
      </c>
      <c r="H795">
        <f>'Total Traffic'!D793-'Page Sessions'!D795</f>
        <v>67502</v>
      </c>
      <c r="I795" s="2">
        <f t="shared" si="844"/>
        <v>0.3176832361146335</v>
      </c>
      <c r="J795" s="2">
        <f t="shared" si="856"/>
        <v>-1.5616941488271419E-2</v>
      </c>
      <c r="K795" s="2">
        <f>D795/'Total Traffic'!D793</f>
        <v>0.48309977793092884</v>
      </c>
      <c r="L795" s="5">
        <f t="shared" si="845"/>
        <v>0.59028658381942678</v>
      </c>
      <c r="M795" s="5">
        <f t="shared" si="846"/>
        <v>0.69879162191192268</v>
      </c>
      <c r="N795" s="5">
        <f t="shared" si="847"/>
        <v>0.77016485416746727</v>
      </c>
      <c r="O795" s="5">
        <f t="shared" si="857"/>
        <v>-1.9674018804368698E-2</v>
      </c>
      <c r="P795" s="2">
        <f t="shared" ref="P795:R795" si="873">(L795/L788)-1</f>
        <v>-6.23047993564807E-3</v>
      </c>
      <c r="Q795" s="2">
        <f t="shared" si="873"/>
        <v>2.5685062912059742E-2</v>
      </c>
      <c r="R795" s="2">
        <f t="shared" si="873"/>
        <v>-3.4250643352146781E-2</v>
      </c>
      <c r="S795" s="3"/>
    </row>
    <row r="796" spans="3:19" x14ac:dyDescent="0.25">
      <c r="C796" s="1">
        <f t="shared" si="849"/>
        <v>44258</v>
      </c>
      <c r="D796">
        <v>62267</v>
      </c>
      <c r="E796">
        <v>36083</v>
      </c>
      <c r="F796">
        <v>24327</v>
      </c>
      <c r="G796">
        <v>18787</v>
      </c>
      <c r="H796">
        <f>'Total Traffic'!D794-'Page Sessions'!D796</f>
        <v>68055</v>
      </c>
      <c r="I796" s="2">
        <f t="shared" si="844"/>
        <v>0.30171680023126213</v>
      </c>
      <c r="J796" s="2">
        <f t="shared" si="856"/>
        <v>-5.0516434727319148E-2</v>
      </c>
      <c r="K796" s="2">
        <f>D796/'Total Traffic'!D794</f>
        <v>0.47779346541643009</v>
      </c>
      <c r="L796" s="5">
        <f t="shared" si="845"/>
        <v>0.57948833250357334</v>
      </c>
      <c r="M796" s="5">
        <f t="shared" si="846"/>
        <v>0.67419560457833327</v>
      </c>
      <c r="N796" s="5">
        <f t="shared" si="847"/>
        <v>0.77226949480001639</v>
      </c>
      <c r="O796" s="5">
        <f t="shared" si="857"/>
        <v>-1.8897633632141475E-2</v>
      </c>
      <c r="P796" s="2">
        <f t="shared" ref="P796:R796" si="874">(L796/L789)-1</f>
        <v>-2.4427311975844357E-2</v>
      </c>
      <c r="Q796" s="2">
        <f t="shared" si="874"/>
        <v>-5.1696931268992996E-3</v>
      </c>
      <c r="R796" s="2">
        <f t="shared" si="874"/>
        <v>-2.1684777408307654E-2</v>
      </c>
      <c r="S796" s="3"/>
    </row>
    <row r="797" spans="3:19" x14ac:dyDescent="0.25">
      <c r="C797" s="1">
        <f t="shared" si="849"/>
        <v>44259</v>
      </c>
      <c r="D797">
        <v>64532</v>
      </c>
      <c r="E797">
        <v>38261</v>
      </c>
      <c r="F797">
        <v>25642</v>
      </c>
      <c r="G797">
        <v>20234</v>
      </c>
      <c r="H797">
        <f>'Total Traffic'!D795-'Page Sessions'!D797</f>
        <v>66128</v>
      </c>
      <c r="I797" s="2">
        <f t="shared" si="844"/>
        <v>0.31354986673278373</v>
      </c>
      <c r="J797" s="2">
        <f t="shared" si="856"/>
        <v>1.8729283896016913E-2</v>
      </c>
      <c r="K797" s="2">
        <f>D797/'Total Traffic'!D795</f>
        <v>0.49389254553803763</v>
      </c>
      <c r="L797" s="5">
        <f t="shared" si="845"/>
        <v>0.59289964668691497</v>
      </c>
      <c r="M797" s="5">
        <f t="shared" si="846"/>
        <v>0.67018635163743756</v>
      </c>
      <c r="N797" s="5">
        <f t="shared" si="847"/>
        <v>0.7890960143514546</v>
      </c>
      <c r="O797" s="5">
        <f t="shared" si="857"/>
        <v>2.3408685188792244E-2</v>
      </c>
      <c r="P797" s="2">
        <f t="shared" ref="P797:R797" si="875">(L797/L790)-1</f>
        <v>3.5643501398403332E-2</v>
      </c>
      <c r="Q797" s="2">
        <f t="shared" si="875"/>
        <v>-3.8044922138393944E-2</v>
      </c>
      <c r="R797" s="2">
        <f t="shared" si="875"/>
        <v>2.257157098458018E-2</v>
      </c>
      <c r="S797" s="3"/>
    </row>
    <row r="798" spans="3:19" x14ac:dyDescent="0.25">
      <c r="C798" s="1">
        <f t="shared" si="849"/>
        <v>44260</v>
      </c>
      <c r="D798">
        <v>63166</v>
      </c>
      <c r="E798">
        <v>36535</v>
      </c>
      <c r="F798">
        <v>25238</v>
      </c>
      <c r="G798">
        <v>20069</v>
      </c>
      <c r="H798">
        <f>'Total Traffic'!D796-'Page Sessions'!D798</f>
        <v>67235</v>
      </c>
      <c r="I798" s="2">
        <f t="shared" si="844"/>
        <v>0.31771839280625652</v>
      </c>
      <c r="J798" s="2">
        <f t="shared" si="856"/>
        <v>5.177449274873136E-2</v>
      </c>
      <c r="K798" s="2">
        <f>D798/'Total Traffic'!D796</f>
        <v>0.48439812578124403</v>
      </c>
      <c r="L798" s="5">
        <f t="shared" si="845"/>
        <v>0.57839660576892638</v>
      </c>
      <c r="M798" s="5">
        <f t="shared" si="846"/>
        <v>0.69078965375667167</v>
      </c>
      <c r="N798" s="5">
        <f t="shared" si="847"/>
        <v>0.79518979316903082</v>
      </c>
      <c r="O798" s="5">
        <f t="shared" si="857"/>
        <v>-1.1622213493002187E-2</v>
      </c>
      <c r="P798" s="2">
        <f t="shared" ref="P798:R798" si="876">(L798/L791)-1</f>
        <v>1.1195512847910871E-2</v>
      </c>
      <c r="Q798" s="2">
        <f t="shared" si="876"/>
        <v>7.2842661587335655E-3</v>
      </c>
      <c r="R798" s="2">
        <f t="shared" si="876"/>
        <v>3.2607916347455523E-2</v>
      </c>
      <c r="S798" s="3"/>
    </row>
    <row r="799" spans="3:19" x14ac:dyDescent="0.25">
      <c r="C799" s="1">
        <f t="shared" si="849"/>
        <v>44261</v>
      </c>
      <c r="D799">
        <v>64946</v>
      </c>
      <c r="E799">
        <v>38246</v>
      </c>
      <c r="F799">
        <v>25957</v>
      </c>
      <c r="G799">
        <v>20425</v>
      </c>
      <c r="H799">
        <f>'Total Traffic'!D797-'Page Sessions'!D799</f>
        <v>66074</v>
      </c>
      <c r="I799" s="2">
        <f t="shared" si="844"/>
        <v>0.31449203954054139</v>
      </c>
      <c r="J799" s="2">
        <f t="shared" si="856"/>
        <v>9.6646761873695475E-3</v>
      </c>
      <c r="K799" s="2">
        <f>D799/'Total Traffic'!D797</f>
        <v>0.49569531369256603</v>
      </c>
      <c r="L799" s="5">
        <f t="shared" si="845"/>
        <v>0.58888923105349056</v>
      </c>
      <c r="M799" s="5">
        <f t="shared" si="846"/>
        <v>0.678685352716624</v>
      </c>
      <c r="N799" s="5">
        <f t="shared" si="847"/>
        <v>0.78687829872481407</v>
      </c>
      <c r="O799" s="5">
        <f t="shared" si="857"/>
        <v>3.3350579473415687E-2</v>
      </c>
      <c r="P799" s="2">
        <f t="shared" ref="P799:R799" si="877">(L799/L792)-1</f>
        <v>-6.7492245920837135E-3</v>
      </c>
      <c r="Q799" s="2">
        <f t="shared" si="877"/>
        <v>-1.9270024103383854E-3</v>
      </c>
      <c r="R799" s="2">
        <f t="shared" si="877"/>
        <v>1.8488063602847271E-2</v>
      </c>
      <c r="S799" s="3"/>
    </row>
    <row r="800" spans="3:19" x14ac:dyDescent="0.25">
      <c r="C800" s="1">
        <f t="shared" si="849"/>
        <v>44262</v>
      </c>
      <c r="D800">
        <v>62112</v>
      </c>
      <c r="E800">
        <v>35900</v>
      </c>
      <c r="F800">
        <v>24580</v>
      </c>
      <c r="G800">
        <v>19447</v>
      </c>
      <c r="H800">
        <f>'Total Traffic'!D798-'Page Sessions'!D800</f>
        <v>68184</v>
      </c>
      <c r="I800" s="2">
        <f t="shared" si="844"/>
        <v>0.31309569809376608</v>
      </c>
      <c r="J800" s="2">
        <f t="shared" si="856"/>
        <v>-1.7269227897409589E-2</v>
      </c>
      <c r="K800" s="2">
        <f>D800/'Total Traffic'!D798</f>
        <v>0.47669920795726656</v>
      </c>
      <c r="L800" s="5">
        <f t="shared" si="845"/>
        <v>0.57798815043791862</v>
      </c>
      <c r="M800" s="5">
        <f t="shared" si="846"/>
        <v>0.68467966573816152</v>
      </c>
      <c r="N800" s="5">
        <f t="shared" si="847"/>
        <v>0.79117168429617579</v>
      </c>
      <c r="O800" s="5">
        <f t="shared" si="857"/>
        <v>-1.8116974341982117E-2</v>
      </c>
      <c r="P800" s="2">
        <f t="shared" ref="P800:R800" si="878">(L800/L793)-1</f>
        <v>-2.4151621701152814E-2</v>
      </c>
      <c r="Q800" s="2">
        <f t="shared" si="878"/>
        <v>1.4677075790330507E-2</v>
      </c>
      <c r="R800" s="2">
        <f t="shared" si="878"/>
        <v>-7.5140626850451753E-3</v>
      </c>
      <c r="S800" s="3"/>
    </row>
    <row r="801" spans="3:19" x14ac:dyDescent="0.25">
      <c r="C801" s="1">
        <f t="shared" si="849"/>
        <v>44263</v>
      </c>
      <c r="D801">
        <v>62199</v>
      </c>
      <c r="E801">
        <v>36622</v>
      </c>
      <c r="F801">
        <v>25540</v>
      </c>
      <c r="G801">
        <v>19681</v>
      </c>
      <c r="H801">
        <f>'Total Traffic'!D799-'Page Sessions'!D801</f>
        <v>68748</v>
      </c>
      <c r="I801" s="2">
        <f t="shared" si="844"/>
        <v>0.31641987813308897</v>
      </c>
      <c r="J801" s="2">
        <f t="shared" si="856"/>
        <v>-2.4182634904608813E-2</v>
      </c>
      <c r="K801" s="2">
        <f>D801/'Total Traffic'!D799</f>
        <v>0.47499369974111666</v>
      </c>
      <c r="L801" s="5">
        <f t="shared" si="845"/>
        <v>0.58878760108683414</v>
      </c>
      <c r="M801" s="5">
        <f t="shared" si="846"/>
        <v>0.69739500846485714</v>
      </c>
      <c r="N801" s="5">
        <f t="shared" si="847"/>
        <v>0.77059514487079095</v>
      </c>
      <c r="O801" s="5">
        <f t="shared" si="857"/>
        <v>-3.0216864961883916E-2</v>
      </c>
      <c r="P801" s="2">
        <f t="shared" ref="P801:R801" si="879">(L801/L794)-1</f>
        <v>-2.892390492805097E-3</v>
      </c>
      <c r="Q801" s="2">
        <f t="shared" si="879"/>
        <v>-3.5782188610518073E-3</v>
      </c>
      <c r="R801" s="2">
        <f t="shared" si="879"/>
        <v>-1.7837610755726208E-2</v>
      </c>
      <c r="S801" s="3"/>
    </row>
    <row r="802" spans="3:19" x14ac:dyDescent="0.25">
      <c r="C802" s="1">
        <f t="shared" si="849"/>
        <v>44264</v>
      </c>
      <c r="D802">
        <v>62089</v>
      </c>
      <c r="E802">
        <v>36377</v>
      </c>
      <c r="F802">
        <v>24518</v>
      </c>
      <c r="G802">
        <v>18893</v>
      </c>
      <c r="H802">
        <f>'Total Traffic'!D800-'Page Sessions'!D802</f>
        <v>68516</v>
      </c>
      <c r="I802" s="2">
        <f t="shared" si="844"/>
        <v>0.30428900449354956</v>
      </c>
      <c r="J802" s="2">
        <f t="shared" si="856"/>
        <v>-4.2162223556079459E-2</v>
      </c>
      <c r="K802" s="2">
        <f>D802/'Total Traffic'!D800</f>
        <v>0.47539527583170627</v>
      </c>
      <c r="L802" s="5">
        <f t="shared" si="845"/>
        <v>0.58588477830211472</v>
      </c>
      <c r="M802" s="5">
        <f t="shared" si="846"/>
        <v>0.6739973059900487</v>
      </c>
      <c r="N802" s="5">
        <f t="shared" si="847"/>
        <v>0.77057671914511783</v>
      </c>
      <c r="O802" s="5">
        <f t="shared" si="857"/>
        <v>-1.5948055559495855E-2</v>
      </c>
      <c r="P802" s="2">
        <f t="shared" ref="P802:R802" si="880">(L802/L795)-1</f>
        <v>-7.4570651577922087E-3</v>
      </c>
      <c r="Q802" s="2">
        <f t="shared" si="880"/>
        <v>-3.5481701761156947E-2</v>
      </c>
      <c r="R802" s="2">
        <f t="shared" si="880"/>
        <v>5.3477508798516205E-4</v>
      </c>
      <c r="S802" s="3"/>
    </row>
    <row r="803" spans="3:19" x14ac:dyDescent="0.25">
      <c r="C803" s="1">
        <f t="shared" si="849"/>
        <v>44265</v>
      </c>
      <c r="D803">
        <v>63786</v>
      </c>
      <c r="E803">
        <v>38118</v>
      </c>
      <c r="F803">
        <v>26267</v>
      </c>
      <c r="G803">
        <v>20409</v>
      </c>
      <c r="H803">
        <f>'Total Traffic'!D801-'Page Sessions'!D803</f>
        <v>66390</v>
      </c>
      <c r="I803" s="2">
        <f t="shared" si="844"/>
        <v>0.31996049289812811</v>
      </c>
      <c r="J803" s="2">
        <f t="shared" si="856"/>
        <v>6.0466280475208523E-2</v>
      </c>
      <c r="K803" s="2">
        <f>D803/'Total Traffic'!D801</f>
        <v>0.48999815634218291</v>
      </c>
      <c r="L803" s="5">
        <f t="shared" si="845"/>
        <v>0.59759194807638039</v>
      </c>
      <c r="M803" s="5">
        <f t="shared" si="846"/>
        <v>0.689097014533816</v>
      </c>
      <c r="N803" s="5">
        <f t="shared" si="847"/>
        <v>0.77698252560246694</v>
      </c>
      <c r="O803" s="5">
        <f t="shared" si="857"/>
        <v>2.5543863215282014E-2</v>
      </c>
      <c r="P803" s="2">
        <f t="shared" ref="P803:R803" si="881">(L803/L796)-1</f>
        <v>3.1240690376963531E-2</v>
      </c>
      <c r="Q803" s="2">
        <f t="shared" si="881"/>
        <v>2.2102502381045053E-2</v>
      </c>
      <c r="R803" s="2">
        <f t="shared" si="881"/>
        <v>6.1028317629858719E-3</v>
      </c>
      <c r="S803" s="3"/>
    </row>
    <row r="804" spans="3:19" x14ac:dyDescent="0.25">
      <c r="C804" s="1">
        <f t="shared" si="849"/>
        <v>44266</v>
      </c>
      <c r="D804">
        <v>61902</v>
      </c>
      <c r="E804">
        <v>35519</v>
      </c>
      <c r="F804">
        <v>24355</v>
      </c>
      <c r="G804">
        <v>19118</v>
      </c>
      <c r="H804">
        <f>'Total Traffic'!D802-'Page Sessions'!D804</f>
        <v>68391</v>
      </c>
      <c r="I804" s="2">
        <f t="shared" si="844"/>
        <v>0.30884300991890407</v>
      </c>
      <c r="J804" s="2">
        <f t="shared" si="856"/>
        <v>-1.5011509534115008E-2</v>
      </c>
      <c r="K804" s="2">
        <f>D804/'Total Traffic'!D802</f>
        <v>0.47509843199557922</v>
      </c>
      <c r="L804" s="5">
        <f t="shared" si="845"/>
        <v>0.57379406158120905</v>
      </c>
      <c r="M804" s="5">
        <f t="shared" si="846"/>
        <v>0.68568934936231318</v>
      </c>
      <c r="N804" s="5">
        <f t="shared" si="847"/>
        <v>0.78497228495175531</v>
      </c>
      <c r="O804" s="5">
        <f t="shared" si="857"/>
        <v>-3.8053041521378783E-2</v>
      </c>
      <c r="P804" s="2">
        <f t="shared" ref="P804:R804" si="882">(L804/L797)-1</f>
        <v>-3.2223977889794142E-2</v>
      </c>
      <c r="Q804" s="2">
        <f t="shared" si="882"/>
        <v>2.3132368612099885E-2</v>
      </c>
      <c r="R804" s="2">
        <f t="shared" si="882"/>
        <v>-5.2258905439898085E-3</v>
      </c>
      <c r="S804" s="3"/>
    </row>
    <row r="805" spans="3:19" x14ac:dyDescent="0.25">
      <c r="C805" s="1">
        <f t="shared" si="849"/>
        <v>44267</v>
      </c>
      <c r="D805">
        <v>61643</v>
      </c>
      <c r="E805">
        <v>36961</v>
      </c>
      <c r="F805">
        <v>25055</v>
      </c>
      <c r="G805">
        <v>19587</v>
      </c>
      <c r="H805">
        <f>'Total Traffic'!D803-'Page Sessions'!D805</f>
        <v>68792</v>
      </c>
      <c r="I805" s="2">
        <f t="shared" si="844"/>
        <v>0.31774897393053553</v>
      </c>
      <c r="J805" s="2">
        <f t="shared" si="856"/>
        <v>9.6252294394805205E-5</v>
      </c>
      <c r="K805" s="2">
        <f>D805/'Total Traffic'!D803</f>
        <v>0.47259554567409057</v>
      </c>
      <c r="L805" s="5">
        <f t="shared" si="845"/>
        <v>0.59959768343526432</v>
      </c>
      <c r="M805" s="5">
        <f t="shared" si="846"/>
        <v>0.67787668082573527</v>
      </c>
      <c r="N805" s="5">
        <f t="shared" si="847"/>
        <v>0.78176012771901815</v>
      </c>
      <c r="O805" s="5">
        <f t="shared" si="857"/>
        <v>-2.4365453702196116E-2</v>
      </c>
      <c r="P805" s="2">
        <f t="shared" ref="P805:R805" si="883">(L805/L798)-1</f>
        <v>3.6654913695686409E-2</v>
      </c>
      <c r="Q805" s="2">
        <f t="shared" si="883"/>
        <v>-1.8693060703374287E-2</v>
      </c>
      <c r="R805" s="2">
        <f t="shared" si="883"/>
        <v>-1.6888629061110216E-2</v>
      </c>
      <c r="S805" s="3"/>
    </row>
    <row r="806" spans="3:19" x14ac:dyDescent="0.25">
      <c r="C806" s="1">
        <f t="shared" si="849"/>
        <v>44268</v>
      </c>
      <c r="D806">
        <v>62244</v>
      </c>
      <c r="E806">
        <v>37221</v>
      </c>
      <c r="F806">
        <v>24993</v>
      </c>
      <c r="G806">
        <v>19427</v>
      </c>
      <c r="H806">
        <f>'Total Traffic'!D804-'Page Sessions'!D806</f>
        <v>67975</v>
      </c>
      <c r="I806" s="2">
        <f t="shared" si="844"/>
        <v>0.31211040421566738</v>
      </c>
      <c r="J806" s="2">
        <f t="shared" si="856"/>
        <v>-7.5729590114695933E-3</v>
      </c>
      <c r="K806" s="2">
        <f>D806/'Total Traffic'!D804</f>
        <v>0.47799476266904217</v>
      </c>
      <c r="L806" s="5">
        <f t="shared" si="845"/>
        <v>0.59798534798534797</v>
      </c>
      <c r="M806" s="5">
        <f t="shared" si="846"/>
        <v>0.67147577980172479</v>
      </c>
      <c r="N806" s="5">
        <f t="shared" si="847"/>
        <v>0.77729764334013529</v>
      </c>
      <c r="O806" s="5">
        <f t="shared" si="857"/>
        <v>-3.5708530088105483E-2</v>
      </c>
      <c r="P806" s="2">
        <f t="shared" ref="P806:R806" si="884">(L806/L799)-1</f>
        <v>1.5446227324593664E-2</v>
      </c>
      <c r="Q806" s="2">
        <f t="shared" si="884"/>
        <v>-1.0622850317957955E-2</v>
      </c>
      <c r="R806" s="2">
        <f t="shared" si="884"/>
        <v>-1.2175523712122716E-2</v>
      </c>
      <c r="S806" s="3"/>
    </row>
    <row r="807" spans="3:19" x14ac:dyDescent="0.25">
      <c r="C807" s="1">
        <f t="shared" si="849"/>
        <v>44269</v>
      </c>
      <c r="D807">
        <v>64614</v>
      </c>
      <c r="E807">
        <v>37017</v>
      </c>
      <c r="F807">
        <v>25519</v>
      </c>
      <c r="G807">
        <v>19749</v>
      </c>
      <c r="H807">
        <f>'Total Traffic'!D805-'Page Sessions'!D807</f>
        <v>66159</v>
      </c>
      <c r="I807" s="2">
        <f t="shared" si="844"/>
        <v>0.30564583526789862</v>
      </c>
      <c r="J807" s="2">
        <f t="shared" si="856"/>
        <v>-2.379420372501051E-2</v>
      </c>
      <c r="K807" s="2">
        <f>D807/'Total Traffic'!D805</f>
        <v>0.49409281732467714</v>
      </c>
      <c r="L807" s="5">
        <f t="shared" si="845"/>
        <v>0.57289441916612494</v>
      </c>
      <c r="M807" s="5">
        <f t="shared" si="846"/>
        <v>0.68938595780317147</v>
      </c>
      <c r="N807" s="5">
        <f t="shared" si="847"/>
        <v>0.7738939613621223</v>
      </c>
      <c r="O807" s="5">
        <f t="shared" si="857"/>
        <v>3.6487598630476015E-2</v>
      </c>
      <c r="P807" s="2">
        <f t="shared" ref="P807:R807" si="885">(L807/L800)-1</f>
        <v>-8.8128645335278089E-3</v>
      </c>
      <c r="Q807" s="2">
        <f t="shared" si="885"/>
        <v>6.873713797146408E-3</v>
      </c>
      <c r="R807" s="2">
        <f t="shared" si="885"/>
        <v>-2.1838146229188782E-2</v>
      </c>
      <c r="S807" s="3"/>
    </row>
    <row r="808" spans="3:19" x14ac:dyDescent="0.25">
      <c r="C808" s="1">
        <f t="shared" si="849"/>
        <v>44270</v>
      </c>
      <c r="D808">
        <v>63340</v>
      </c>
      <c r="E808">
        <v>37972</v>
      </c>
      <c r="F808">
        <v>26147</v>
      </c>
      <c r="G808">
        <v>20813</v>
      </c>
      <c r="H808">
        <f>'Total Traffic'!D806-'Page Sessions'!D808</f>
        <v>67285</v>
      </c>
      <c r="I808" s="2">
        <f t="shared" si="844"/>
        <v>0.32859172718661195</v>
      </c>
      <c r="J808" s="2">
        <f t="shared" si="856"/>
        <v>3.8467396945281118E-2</v>
      </c>
      <c r="K808" s="2">
        <f>D808/'Total Traffic'!D806</f>
        <v>0.4848995215311005</v>
      </c>
      <c r="L808" s="5">
        <f t="shared" si="845"/>
        <v>0.59949479002210293</v>
      </c>
      <c r="M808" s="5">
        <f t="shared" si="846"/>
        <v>0.68858632676709153</v>
      </c>
      <c r="N808" s="5">
        <f t="shared" si="847"/>
        <v>0.7959995410563353</v>
      </c>
      <c r="O808" s="5">
        <f t="shared" si="857"/>
        <v>2.0854638272850279E-2</v>
      </c>
      <c r="P808" s="2">
        <f t="shared" ref="P808:R808" si="886">(L808/L801)-1</f>
        <v>1.8185146758363357E-2</v>
      </c>
      <c r="Q808" s="2">
        <f t="shared" si="886"/>
        <v>-1.263083559653766E-2</v>
      </c>
      <c r="R808" s="2">
        <f t="shared" si="886"/>
        <v>3.2967241429744609E-2</v>
      </c>
      <c r="S808" s="3"/>
    </row>
    <row r="809" spans="3:19" x14ac:dyDescent="0.25">
      <c r="C809" s="1">
        <f t="shared" si="849"/>
        <v>44271</v>
      </c>
      <c r="D809">
        <v>62908</v>
      </c>
      <c r="E809">
        <v>36700</v>
      </c>
      <c r="F809">
        <v>24893</v>
      </c>
      <c r="G809">
        <v>19180</v>
      </c>
      <c r="H809">
        <f>'Total Traffic'!D807-'Page Sessions'!D809</f>
        <v>67337</v>
      </c>
      <c r="I809" s="2">
        <f t="shared" si="844"/>
        <v>0.30488968016786416</v>
      </c>
      <c r="J809" s="2">
        <f t="shared" si="856"/>
        <v>1.9740301668618176E-3</v>
      </c>
      <c r="K809" s="2">
        <f>D809/'Total Traffic'!D807</f>
        <v>0.48299742792429651</v>
      </c>
      <c r="L809" s="5">
        <f t="shared" si="845"/>
        <v>0.58339161950785279</v>
      </c>
      <c r="M809" s="5">
        <f t="shared" si="846"/>
        <v>0.67828337874659406</v>
      </c>
      <c r="N809" s="5">
        <f t="shared" si="847"/>
        <v>0.77049773028562252</v>
      </c>
      <c r="O809" s="5">
        <f t="shared" si="857"/>
        <v>1.5991223470385174E-2</v>
      </c>
      <c r="P809" s="2">
        <f t="shared" ref="P809:R809" si="887">(L809/L802)-1</f>
        <v>-4.25537390045716E-3</v>
      </c>
      <c r="Q809" s="2">
        <f t="shared" si="887"/>
        <v>6.3591838104597453E-3</v>
      </c>
      <c r="R809" s="2">
        <f t="shared" si="887"/>
        <v>-1.0250615874163316E-4</v>
      </c>
      <c r="S809" s="3"/>
    </row>
    <row r="810" spans="3:19" x14ac:dyDescent="0.25">
      <c r="C810" s="1">
        <f t="shared" si="849"/>
        <v>44272</v>
      </c>
      <c r="D810">
        <v>64578</v>
      </c>
      <c r="E810">
        <v>38197</v>
      </c>
      <c r="F810">
        <v>25752</v>
      </c>
      <c r="G810">
        <v>19898</v>
      </c>
      <c r="H810">
        <f>'Total Traffic'!D808-'Page Sessions'!D810</f>
        <v>66254</v>
      </c>
      <c r="I810" s="2">
        <f t="shared" si="844"/>
        <v>0.30812350955433737</v>
      </c>
      <c r="J810" s="2">
        <f t="shared" si="856"/>
        <v>-3.6995140358030087E-2</v>
      </c>
      <c r="K810" s="2">
        <f>D810/'Total Traffic'!D808</f>
        <v>0.49359483918307445</v>
      </c>
      <c r="L810" s="5">
        <f t="shared" si="845"/>
        <v>0.59148626467217935</v>
      </c>
      <c r="M810" s="5">
        <f t="shared" si="846"/>
        <v>0.67418907244024395</v>
      </c>
      <c r="N810" s="5">
        <f t="shared" si="847"/>
        <v>0.77267785026405711</v>
      </c>
      <c r="O810" s="5">
        <f t="shared" si="857"/>
        <v>7.3401966810255903E-3</v>
      </c>
      <c r="P810" s="2">
        <f t="shared" ref="P810:R810" si="888">(L810/L803)-1</f>
        <v>-1.0217144698577263E-2</v>
      </c>
      <c r="Q810" s="2">
        <f t="shared" si="888"/>
        <v>-2.1634025077960195E-2</v>
      </c>
      <c r="R810" s="2">
        <f t="shared" si="888"/>
        <v>-5.540247298447265E-3</v>
      </c>
      <c r="S810" s="3"/>
    </row>
    <row r="811" spans="3:19" x14ac:dyDescent="0.25">
      <c r="C811" s="1">
        <f t="shared" si="849"/>
        <v>44273</v>
      </c>
      <c r="D811">
        <v>64688</v>
      </c>
      <c r="E811">
        <v>38359</v>
      </c>
      <c r="F811">
        <v>26778</v>
      </c>
      <c r="G811">
        <v>20619</v>
      </c>
      <c r="H811">
        <f>'Total Traffic'!D809-'Page Sessions'!D811</f>
        <v>65969</v>
      </c>
      <c r="I811" s="2">
        <f t="shared" si="844"/>
        <v>0.31874536235468709</v>
      </c>
      <c r="J811" s="2">
        <f t="shared" si="856"/>
        <v>3.2062737759171567E-2</v>
      </c>
      <c r="K811" s="2">
        <f>D811/'Total Traffic'!D809</f>
        <v>0.4950978516267785</v>
      </c>
      <c r="L811" s="5">
        <f t="shared" si="845"/>
        <v>0.59298478852337377</v>
      </c>
      <c r="M811" s="5">
        <f t="shared" si="846"/>
        <v>0.6980891055554107</v>
      </c>
      <c r="N811" s="5">
        <f t="shared" si="847"/>
        <v>0.76999775935469417</v>
      </c>
      <c r="O811" s="5">
        <f t="shared" si="857"/>
        <v>4.2095318115858094E-2</v>
      </c>
      <c r="P811" s="2">
        <f t="shared" ref="P811:R811" si="889">(L811/L804)-1</f>
        <v>3.3445321635571901E-2</v>
      </c>
      <c r="Q811" s="2">
        <f t="shared" si="889"/>
        <v>1.8083635402284193E-2</v>
      </c>
      <c r="R811" s="2">
        <f t="shared" si="889"/>
        <v>-1.9076502297124431E-2</v>
      </c>
      <c r="S811" s="3"/>
    </row>
    <row r="812" spans="3:19" x14ac:dyDescent="0.25">
      <c r="C812" s="1">
        <f t="shared" si="849"/>
        <v>44274</v>
      </c>
      <c r="D812">
        <v>64591</v>
      </c>
      <c r="E812">
        <v>37359</v>
      </c>
      <c r="F812">
        <v>26028</v>
      </c>
      <c r="G812">
        <v>20283</v>
      </c>
      <c r="H812">
        <f>'Total Traffic'!D810-'Page Sessions'!D812</f>
        <v>66214</v>
      </c>
      <c r="I812" s="2">
        <f t="shared" si="844"/>
        <v>0.31402207737920146</v>
      </c>
      <c r="J812" s="2">
        <f t="shared" si="856"/>
        <v>-1.1729059279822596E-2</v>
      </c>
      <c r="K812" s="2">
        <f>D812/'Total Traffic'!D810</f>
        <v>0.4937961087114407</v>
      </c>
      <c r="L812" s="5">
        <f t="shared" si="845"/>
        <v>0.57839327460482115</v>
      </c>
      <c r="M812" s="5">
        <f t="shared" si="846"/>
        <v>0.69669959046013008</v>
      </c>
      <c r="N812" s="5">
        <f t="shared" si="847"/>
        <v>0.77927616413093592</v>
      </c>
      <c r="O812" s="5">
        <f t="shared" si="857"/>
        <v>4.4859845234280771E-2</v>
      </c>
      <c r="P812" s="2">
        <f t="shared" ref="P812:R812" si="890">(L812/L805)-1</f>
        <v>-3.5364394186710557E-2</v>
      </c>
      <c r="Q812" s="2">
        <f t="shared" si="890"/>
        <v>2.7767454120808832E-2</v>
      </c>
      <c r="R812" s="2">
        <f t="shared" si="890"/>
        <v>-3.1773986674529242E-3</v>
      </c>
      <c r="S812" s="3"/>
    </row>
    <row r="813" spans="3:19" x14ac:dyDescent="0.25">
      <c r="C813" s="1">
        <f t="shared" si="849"/>
        <v>44275</v>
      </c>
      <c r="D813">
        <v>63366</v>
      </c>
      <c r="E813">
        <v>36967</v>
      </c>
      <c r="F813">
        <v>25522</v>
      </c>
      <c r="G813">
        <v>19695</v>
      </c>
      <c r="H813">
        <f>'Total Traffic'!D811-'Page Sessions'!D813</f>
        <v>67017</v>
      </c>
      <c r="I813" s="2">
        <f t="shared" si="844"/>
        <v>0.31081336994602782</v>
      </c>
      <c r="J813" s="2">
        <f t="shared" si="856"/>
        <v>-4.1556905893573859E-3</v>
      </c>
      <c r="K813" s="2">
        <f>D813/'Total Traffic'!D811</f>
        <v>0.48599894157980716</v>
      </c>
      <c r="L813" s="5">
        <f t="shared" si="845"/>
        <v>0.58338856800176753</v>
      </c>
      <c r="M813" s="5">
        <f t="shared" si="846"/>
        <v>0.69039954554061733</v>
      </c>
      <c r="N813" s="5">
        <f t="shared" si="847"/>
        <v>0.77168717185173574</v>
      </c>
      <c r="O813" s="5">
        <f t="shared" si="857"/>
        <v>1.674532763930503E-2</v>
      </c>
      <c r="P813" s="2">
        <f t="shared" ref="P813:R813" si="891">(L813/L806)-1</f>
        <v>-2.4409929160903232E-2</v>
      </c>
      <c r="Q813" s="2">
        <f t="shared" si="891"/>
        <v>2.8182350440816295E-2</v>
      </c>
      <c r="R813" s="2">
        <f t="shared" si="891"/>
        <v>-7.2179190770356172E-3</v>
      </c>
      <c r="S813" s="3"/>
    </row>
    <row r="814" spans="3:19" x14ac:dyDescent="0.25">
      <c r="C814" s="1">
        <f t="shared" si="849"/>
        <v>44276</v>
      </c>
      <c r="D814">
        <v>63699</v>
      </c>
      <c r="E814">
        <v>36926</v>
      </c>
      <c r="F814">
        <v>25216</v>
      </c>
      <c r="G814">
        <v>19512</v>
      </c>
      <c r="H814">
        <f>'Total Traffic'!D812-'Page Sessions'!D814</f>
        <v>67154</v>
      </c>
      <c r="I814" s="2">
        <f t="shared" si="844"/>
        <v>0.30631564074789241</v>
      </c>
      <c r="J814" s="2">
        <f t="shared" si="856"/>
        <v>2.1914431760756692E-3</v>
      </c>
      <c r="K814" s="2">
        <f>D814/'Total Traffic'!D812</f>
        <v>0.48679816282393218</v>
      </c>
      <c r="L814" s="5">
        <f t="shared" si="845"/>
        <v>0.57969512865194117</v>
      </c>
      <c r="M814" s="5">
        <f t="shared" si="846"/>
        <v>0.68287927205762877</v>
      </c>
      <c r="N814" s="5">
        <f t="shared" si="847"/>
        <v>0.77379441624365486</v>
      </c>
      <c r="O814" s="5">
        <f t="shared" si="857"/>
        <v>-1.4763733138730362E-2</v>
      </c>
      <c r="P814" s="2">
        <f t="shared" ref="P814:R814" si="892">(L814/L807)-1</f>
        <v>1.1870790250872121E-2</v>
      </c>
      <c r="Q814" s="2">
        <f t="shared" si="892"/>
        <v>-9.4383787077375603E-3</v>
      </c>
      <c r="R814" s="2">
        <f t="shared" si="892"/>
        <v>-1.2862888643327963E-4</v>
      </c>
      <c r="S814" s="3"/>
    </row>
    <row r="815" spans="3:19" x14ac:dyDescent="0.25">
      <c r="C815" s="1">
        <f t="shared" si="849"/>
        <v>44277</v>
      </c>
      <c r="D815">
        <v>61756</v>
      </c>
      <c r="E815">
        <v>35775</v>
      </c>
      <c r="F815">
        <v>23969</v>
      </c>
      <c r="G815">
        <v>19002</v>
      </c>
      <c r="H815">
        <f>'Total Traffic'!D813-'Page Sessions'!D815</f>
        <v>68835</v>
      </c>
      <c r="I815" s="2">
        <f t="shared" si="844"/>
        <v>0.3076947988859382</v>
      </c>
      <c r="J815" s="2">
        <f t="shared" si="856"/>
        <v>-6.3595418179247298E-2</v>
      </c>
      <c r="K815" s="2">
        <f>D815/'Total Traffic'!D813</f>
        <v>0.47289629453790843</v>
      </c>
      <c r="L815" s="5">
        <f t="shared" si="845"/>
        <v>0.5792959388561435</v>
      </c>
      <c r="M815" s="5">
        <f t="shared" si="846"/>
        <v>0.66999301187980431</v>
      </c>
      <c r="N815" s="5">
        <f t="shared" si="847"/>
        <v>0.79277399974967666</v>
      </c>
      <c r="O815" s="5">
        <f t="shared" si="857"/>
        <v>-2.475404998398667E-2</v>
      </c>
      <c r="P815" s="2">
        <f t="shared" ref="P815:R815" si="893">(L815/L808)-1</f>
        <v>-3.3693122112395169E-2</v>
      </c>
      <c r="Q815" s="2">
        <f t="shared" si="893"/>
        <v>-2.7002155233872727E-2</v>
      </c>
      <c r="R815" s="2">
        <f t="shared" si="893"/>
        <v>-4.0521899075195433E-3</v>
      </c>
      <c r="S815" s="3"/>
    </row>
    <row r="816" spans="3:19" x14ac:dyDescent="0.25">
      <c r="C816" s="1">
        <f t="shared" si="849"/>
        <v>44278</v>
      </c>
      <c r="D816">
        <v>64657</v>
      </c>
      <c r="E816">
        <v>37080</v>
      </c>
      <c r="F816">
        <v>24906</v>
      </c>
      <c r="G816">
        <v>19787</v>
      </c>
      <c r="H816">
        <f>'Total Traffic'!D814-'Page Sessions'!D816</f>
        <v>65937</v>
      </c>
      <c r="I816" s="2">
        <f t="shared" si="844"/>
        <v>0.30603028287733736</v>
      </c>
      <c r="J816" s="2">
        <f t="shared" si="856"/>
        <v>3.7410341630625954E-3</v>
      </c>
      <c r="K816" s="2">
        <f>D816/'Total Traffic'!D814</f>
        <v>0.49509931543562491</v>
      </c>
      <c r="L816" s="5">
        <f t="shared" si="845"/>
        <v>0.57348778941181933</v>
      </c>
      <c r="M816" s="5">
        <f t="shared" si="846"/>
        <v>0.67168284789644017</v>
      </c>
      <c r="N816" s="5">
        <f t="shared" si="847"/>
        <v>0.79446719665943955</v>
      </c>
      <c r="O816" s="5">
        <f t="shared" si="857"/>
        <v>2.5055801152682688E-2</v>
      </c>
      <c r="P816" s="2">
        <f t="shared" ref="P816:R816" si="894">(L816/L809)-1</f>
        <v>-1.6976298192950212E-2</v>
      </c>
      <c r="Q816" s="2">
        <f t="shared" si="894"/>
        <v>-9.7312289479229985E-3</v>
      </c>
      <c r="R816" s="2">
        <f t="shared" si="894"/>
        <v>3.1109068114881566E-2</v>
      </c>
      <c r="S816" s="3"/>
    </row>
    <row r="817" spans="3:19" x14ac:dyDescent="0.25">
      <c r="C817" s="1">
        <f t="shared" si="849"/>
        <v>44279</v>
      </c>
      <c r="D817">
        <v>64200</v>
      </c>
      <c r="E817">
        <v>37402</v>
      </c>
      <c r="F817">
        <v>25541</v>
      </c>
      <c r="G817">
        <v>20409</v>
      </c>
      <c r="H817">
        <f>'Total Traffic'!D815-'Page Sessions'!D817</f>
        <v>66661</v>
      </c>
      <c r="I817" s="2">
        <f t="shared" si="844"/>
        <v>0.31789719626168222</v>
      </c>
      <c r="J817" s="2">
        <f t="shared" si="856"/>
        <v>3.1720029158051943E-2</v>
      </c>
      <c r="K817" s="2">
        <f>D817/'Total Traffic'!D815</f>
        <v>0.49059689288634506</v>
      </c>
      <c r="L817" s="5">
        <f t="shared" si="845"/>
        <v>0.58258566978193149</v>
      </c>
      <c r="M817" s="5">
        <f t="shared" si="846"/>
        <v>0.68287792096679323</v>
      </c>
      <c r="N817" s="5">
        <f t="shared" si="847"/>
        <v>0.79906816491131905</v>
      </c>
      <c r="O817" s="5">
        <f t="shared" si="857"/>
        <v>-6.0736986263696391E-3</v>
      </c>
      <c r="P817" s="2">
        <f t="shared" ref="P817:R817" si="895">(L817/L810)-1</f>
        <v>-1.5047847129942782E-2</v>
      </c>
      <c r="Q817" s="2">
        <f t="shared" si="895"/>
        <v>1.2887851319066668E-2</v>
      </c>
      <c r="R817" s="2">
        <f t="shared" si="895"/>
        <v>3.4154356357236404E-2</v>
      </c>
      <c r="S817" s="3"/>
    </row>
    <row r="818" spans="3:19" x14ac:dyDescent="0.25">
      <c r="C818" s="1">
        <f t="shared" si="849"/>
        <v>44280</v>
      </c>
      <c r="D818">
        <v>64280</v>
      </c>
      <c r="E818">
        <v>37198</v>
      </c>
      <c r="F818">
        <v>25852</v>
      </c>
      <c r="G818">
        <v>20270</v>
      </c>
      <c r="H818">
        <f>'Total Traffic'!D816-'Page Sessions'!D818</f>
        <v>66478</v>
      </c>
      <c r="I818" s="2">
        <f t="shared" si="844"/>
        <v>0.31533914125700063</v>
      </c>
      <c r="J818" s="2">
        <f t="shared" si="856"/>
        <v>-1.0686339316511084E-2</v>
      </c>
      <c r="K818" s="2">
        <f>D818/'Total Traffic'!D816</f>
        <v>0.49159516052555102</v>
      </c>
      <c r="L818" s="5">
        <f t="shared" si="845"/>
        <v>0.57868699439950222</v>
      </c>
      <c r="M818" s="5">
        <f t="shared" si="846"/>
        <v>0.69498360126888548</v>
      </c>
      <c r="N818" s="5">
        <f t="shared" si="847"/>
        <v>0.78407860126876061</v>
      </c>
      <c r="O818" s="5">
        <f t="shared" si="857"/>
        <v>-7.0747451028486674E-3</v>
      </c>
      <c r="P818" s="2">
        <f t="shared" ref="P818:R818" si="896">(L818/L811)-1</f>
        <v>-2.4111569808519584E-2</v>
      </c>
      <c r="Q818" s="2">
        <f t="shared" si="896"/>
        <v>-4.4485786439174557E-3</v>
      </c>
      <c r="R818" s="2">
        <f t="shared" si="896"/>
        <v>1.8286860894072055E-2</v>
      </c>
      <c r="S818" s="3"/>
    </row>
    <row r="819" spans="3:19" x14ac:dyDescent="0.25">
      <c r="C819" s="1">
        <f t="shared" si="849"/>
        <v>44281</v>
      </c>
      <c r="D819">
        <v>62448</v>
      </c>
      <c r="E819">
        <v>36944</v>
      </c>
      <c r="F819">
        <v>25376</v>
      </c>
      <c r="G819">
        <v>19803</v>
      </c>
      <c r="H819">
        <f>'Total Traffic'!D817-'Page Sessions'!D819</f>
        <v>68553</v>
      </c>
      <c r="I819" s="2">
        <f t="shared" si="844"/>
        <v>0.31711183704842427</v>
      </c>
      <c r="J819" s="2">
        <f t="shared" si="856"/>
        <v>9.8393071436557733E-3</v>
      </c>
      <c r="K819" s="2">
        <f>D819/'Total Traffic'!D817</f>
        <v>0.47669865115533472</v>
      </c>
      <c r="L819" s="5">
        <f t="shared" si="845"/>
        <v>0.5915962080450935</v>
      </c>
      <c r="M819" s="5">
        <f t="shared" si="846"/>
        <v>0.68687743611953223</v>
      </c>
      <c r="N819" s="5">
        <f t="shared" si="847"/>
        <v>0.78038303909205553</v>
      </c>
      <c r="O819" s="5">
        <f t="shared" si="857"/>
        <v>-3.4624528736611038E-2</v>
      </c>
      <c r="P819" s="2">
        <f t="shared" ref="P819:R819" si="897">(L819/L812)-1</f>
        <v>2.2826913831757611E-2</v>
      </c>
      <c r="Q819" s="2">
        <f t="shared" si="897"/>
        <v>-1.4098119871307602E-2</v>
      </c>
      <c r="R819" s="2">
        <f t="shared" si="897"/>
        <v>1.4203885760499801E-3</v>
      </c>
      <c r="S819" s="3"/>
    </row>
    <row r="820" spans="3:19" x14ac:dyDescent="0.25">
      <c r="C820" s="1">
        <f t="shared" si="849"/>
        <v>44282</v>
      </c>
      <c r="D820">
        <v>62770</v>
      </c>
      <c r="E820">
        <v>36833</v>
      </c>
      <c r="F820">
        <v>24840</v>
      </c>
      <c r="G820">
        <v>19347</v>
      </c>
      <c r="H820">
        <f>'Total Traffic'!D818-'Page Sessions'!D820</f>
        <v>67648</v>
      </c>
      <c r="I820" s="2">
        <f t="shared" si="844"/>
        <v>0.30822048749402581</v>
      </c>
      <c r="J820" s="2">
        <f t="shared" si="856"/>
        <v>-8.3422487663650235E-3</v>
      </c>
      <c r="K820" s="2">
        <f>D820/'Total Traffic'!D818</f>
        <v>0.48129859375239614</v>
      </c>
      <c r="L820" s="5">
        <f t="shared" si="845"/>
        <v>0.58679305400669113</v>
      </c>
      <c r="M820" s="5">
        <f t="shared" si="846"/>
        <v>0.67439524339586787</v>
      </c>
      <c r="N820" s="5">
        <f t="shared" si="847"/>
        <v>0.77886473429951686</v>
      </c>
      <c r="O820" s="5">
        <f t="shared" si="857"/>
        <v>-9.6715186500857531E-3</v>
      </c>
      <c r="P820" s="2">
        <f t="shared" ref="P820:R820" si="898">(L820/L813)-1</f>
        <v>5.8357091510803372E-3</v>
      </c>
      <c r="Q820" s="2">
        <f t="shared" si="898"/>
        <v>-2.3181217670439347E-2</v>
      </c>
      <c r="R820" s="2">
        <f t="shared" si="898"/>
        <v>9.301129667035779E-3</v>
      </c>
      <c r="S820" s="3"/>
    </row>
    <row r="821" spans="3:19" x14ac:dyDescent="0.25">
      <c r="C821" s="1">
        <f t="shared" si="849"/>
        <v>44283</v>
      </c>
      <c r="D821">
        <v>62821</v>
      </c>
      <c r="E821">
        <v>37579</v>
      </c>
      <c r="F821">
        <v>25914</v>
      </c>
      <c r="G821">
        <v>20168</v>
      </c>
      <c r="H821">
        <f>'Total Traffic'!D819-'Page Sessions'!D821</f>
        <v>67920</v>
      </c>
      <c r="I821" s="2">
        <f t="shared" si="844"/>
        <v>0.32103914296174846</v>
      </c>
      <c r="J821" s="2">
        <f t="shared" si="856"/>
        <v>4.806643949981626E-2</v>
      </c>
      <c r="K821" s="2">
        <f>D821/'Total Traffic'!D819</f>
        <v>0.48049961374014272</v>
      </c>
      <c r="L821" s="5">
        <f t="shared" si="845"/>
        <v>0.59819168749303575</v>
      </c>
      <c r="M821" s="5">
        <f t="shared" si="846"/>
        <v>0.68958726948561699</v>
      </c>
      <c r="N821" s="5">
        <f t="shared" si="847"/>
        <v>0.77826657405263566</v>
      </c>
      <c r="O821" s="5">
        <f t="shared" si="857"/>
        <v>-1.2938728131699162E-2</v>
      </c>
      <c r="P821" s="2">
        <f t="shared" ref="P821:R821" si="899">(L821/L814)-1</f>
        <v>3.1907390500430122E-2</v>
      </c>
      <c r="Q821" s="2">
        <f t="shared" si="899"/>
        <v>9.8231088604812111E-3</v>
      </c>
      <c r="R821" s="2">
        <f t="shared" si="899"/>
        <v>5.779516774869764E-3</v>
      </c>
      <c r="S821" s="3"/>
    </row>
    <row r="822" spans="3:19" x14ac:dyDescent="0.25">
      <c r="C822" s="1">
        <f t="shared" si="849"/>
        <v>44284</v>
      </c>
      <c r="D822">
        <v>61971</v>
      </c>
      <c r="E822">
        <v>35540</v>
      </c>
      <c r="F822">
        <v>24415</v>
      </c>
      <c r="G822">
        <v>19075</v>
      </c>
      <c r="H822">
        <f>'Total Traffic'!D820-'Page Sessions'!D822</f>
        <v>68303</v>
      </c>
      <c r="I822" s="2">
        <f t="shared" si="844"/>
        <v>0.3078052637524003</v>
      </c>
      <c r="J822" s="2">
        <f t="shared" si="856"/>
        <v>3.590079093376275E-4</v>
      </c>
      <c r="K822" s="2">
        <f>D822/'Total Traffic'!D820</f>
        <v>0.47569737629918479</v>
      </c>
      <c r="L822" s="5">
        <f t="shared" si="845"/>
        <v>0.57349405367026507</v>
      </c>
      <c r="M822" s="5">
        <f t="shared" si="846"/>
        <v>0.68697242543612835</v>
      </c>
      <c r="N822" s="5">
        <f t="shared" si="847"/>
        <v>0.78128199877124715</v>
      </c>
      <c r="O822" s="5">
        <f t="shared" si="857"/>
        <v>5.9232474299961702E-3</v>
      </c>
      <c r="P822" s="2">
        <f t="shared" ref="P822:R822" si="900">(L822/L815)-1</f>
        <v>-1.0015408009478866E-2</v>
      </c>
      <c r="Q822" s="2">
        <f t="shared" si="900"/>
        <v>2.5342672617860273E-2</v>
      </c>
      <c r="R822" s="2">
        <f t="shared" si="900"/>
        <v>-1.4495935767391721E-2</v>
      </c>
      <c r="S822" s="3"/>
    </row>
    <row r="823" spans="3:19" x14ac:dyDescent="0.25">
      <c r="C823" s="1">
        <f t="shared" si="849"/>
        <v>44285</v>
      </c>
      <c r="D823">
        <v>61821</v>
      </c>
      <c r="E823">
        <v>36839</v>
      </c>
      <c r="F823">
        <v>25315</v>
      </c>
      <c r="G823">
        <v>20221</v>
      </c>
      <c r="H823">
        <f>'Total Traffic'!D821-'Page Sessions'!D823</f>
        <v>69073</v>
      </c>
      <c r="I823" s="2">
        <f t="shared" si="844"/>
        <v>0.32708950033160256</v>
      </c>
      <c r="J823" s="2">
        <f t="shared" si="856"/>
        <v>6.881416197202328E-2</v>
      </c>
      <c r="K823" s="2">
        <f>D823/'Total Traffic'!D821</f>
        <v>0.47229819548642415</v>
      </c>
      <c r="L823" s="5">
        <f t="shared" si="845"/>
        <v>0.59589783406932917</v>
      </c>
      <c r="M823" s="5">
        <f t="shared" si="846"/>
        <v>0.68717934797361491</v>
      </c>
      <c r="N823" s="5">
        <f t="shared" si="847"/>
        <v>0.79877542958720127</v>
      </c>
      <c r="O823" s="5">
        <f t="shared" si="857"/>
        <v>-4.6053628511157685E-2</v>
      </c>
      <c r="P823" s="2">
        <f t="shared" ref="P823:R823" si="901">(L823/L816)-1</f>
        <v>3.9076759908862391E-2</v>
      </c>
      <c r="Q823" s="2">
        <f t="shared" si="901"/>
        <v>2.3071156462765474E-2</v>
      </c>
      <c r="R823" s="2">
        <f t="shared" si="901"/>
        <v>5.4227952341856511E-3</v>
      </c>
      <c r="S823" s="3"/>
    </row>
    <row r="824" spans="3:19" x14ac:dyDescent="0.25">
      <c r="C824" s="1">
        <f t="shared" si="849"/>
        <v>44286</v>
      </c>
      <c r="D824">
        <v>63111</v>
      </c>
      <c r="E824">
        <v>36907</v>
      </c>
      <c r="F824">
        <v>25668</v>
      </c>
      <c r="G824">
        <v>20329</v>
      </c>
      <c r="H824">
        <f>'Total Traffic'!D822-'Page Sessions'!D824</f>
        <v>67689</v>
      </c>
      <c r="I824" s="2">
        <f t="shared" si="844"/>
        <v>0.32211500372359808</v>
      </c>
      <c r="J824" s="2">
        <f t="shared" si="856"/>
        <v>1.326783473247084E-2</v>
      </c>
      <c r="K824" s="2">
        <f>D824/'Total Traffic'!D822</f>
        <v>0.48249999999999998</v>
      </c>
      <c r="L824" s="5">
        <f t="shared" si="845"/>
        <v>0.58479504365324586</v>
      </c>
      <c r="M824" s="5">
        <f t="shared" si="846"/>
        <v>0.69547782263527247</v>
      </c>
      <c r="N824" s="5">
        <f t="shared" si="847"/>
        <v>0.79199781829515348</v>
      </c>
      <c r="O824" s="5">
        <f t="shared" si="857"/>
        <v>-1.6504166666666764E-2</v>
      </c>
      <c r="P824" s="2">
        <f t="shared" ref="P824:R824" si="902">(L824/L817)-1</f>
        <v>3.7923587652635149E-3</v>
      </c>
      <c r="Q824" s="2">
        <f t="shared" si="902"/>
        <v>1.845117740904656E-2</v>
      </c>
      <c r="R824" s="2">
        <f t="shared" si="902"/>
        <v>-8.8482396454252488E-3</v>
      </c>
      <c r="S824" s="3"/>
    </row>
  </sheetData>
  <phoneticPr fontId="2" type="noConversion"/>
  <conditionalFormatting sqref="J4:K824">
    <cfRule type="colorScale" priority="2">
      <colorScale>
        <cfvo type="min"/>
        <cfvo type="percentile" val="50"/>
        <cfvo type="max"/>
        <color theme="5" tint="-0.249977111117893"/>
        <color rgb="FFFFEB84"/>
        <color theme="9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2294-4FD9-FC4C-9ECA-C0B4FC2D53DC}">
  <dimension ref="A1:G822"/>
  <sheetViews>
    <sheetView workbookViewId="0"/>
  </sheetViews>
  <sheetFormatPr defaultColWidth="11" defaultRowHeight="15.75" x14ac:dyDescent="0.25"/>
  <cols>
    <col min="4" max="4" width="12" bestFit="1" customWidth="1"/>
    <col min="6" max="6" width="20.625" bestFit="1" customWidth="1"/>
    <col min="7" max="7" width="22.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7</v>
      </c>
      <c r="F1" t="s">
        <v>23</v>
      </c>
      <c r="G1" t="s">
        <v>24</v>
      </c>
    </row>
    <row r="2" spans="1:7" x14ac:dyDescent="0.25">
      <c r="A2" s="1">
        <v>43466</v>
      </c>
      <c r="B2">
        <v>30060</v>
      </c>
      <c r="C2">
        <v>100650</v>
      </c>
      <c r="D2" s="4">
        <f>SUM(B2:C2)</f>
        <v>130710</v>
      </c>
    </row>
    <row r="3" spans="1:7" x14ac:dyDescent="0.25">
      <c r="A3" s="1">
        <f>A2+1</f>
        <v>43467</v>
      </c>
      <c r="B3">
        <v>30041</v>
      </c>
      <c r="C3">
        <v>100971</v>
      </c>
      <c r="D3" s="4">
        <f t="shared" ref="D3:D66" si="0">SUM(B3:C3)</f>
        <v>131012</v>
      </c>
    </row>
    <row r="4" spans="1:7" x14ac:dyDescent="0.25">
      <c r="A4" s="1">
        <f t="shared" ref="A4:A67" si="1">A3+1</f>
        <v>43468</v>
      </c>
      <c r="B4">
        <v>30088</v>
      </c>
      <c r="C4">
        <v>100636</v>
      </c>
      <c r="D4" s="4">
        <f t="shared" si="0"/>
        <v>130724</v>
      </c>
    </row>
    <row r="5" spans="1:7" x14ac:dyDescent="0.25">
      <c r="A5" s="1">
        <f t="shared" si="1"/>
        <v>43469</v>
      </c>
      <c r="B5">
        <v>30043</v>
      </c>
      <c r="C5">
        <v>100092</v>
      </c>
      <c r="D5" s="4">
        <f t="shared" si="0"/>
        <v>130135</v>
      </c>
    </row>
    <row r="6" spans="1:7" x14ac:dyDescent="0.25">
      <c r="A6" s="1">
        <f t="shared" si="1"/>
        <v>43470</v>
      </c>
      <c r="B6">
        <v>30044</v>
      </c>
      <c r="C6">
        <v>100149</v>
      </c>
      <c r="D6" s="4">
        <f t="shared" si="0"/>
        <v>130193</v>
      </c>
    </row>
    <row r="7" spans="1:7" x14ac:dyDescent="0.25">
      <c r="A7" s="1">
        <f t="shared" si="1"/>
        <v>43471</v>
      </c>
      <c r="B7">
        <v>30070</v>
      </c>
      <c r="C7">
        <v>100047</v>
      </c>
      <c r="D7" s="4">
        <f t="shared" si="0"/>
        <v>130117</v>
      </c>
    </row>
    <row r="8" spans="1:7" x14ac:dyDescent="0.25">
      <c r="A8" s="1">
        <f t="shared" si="1"/>
        <v>43472</v>
      </c>
      <c r="B8">
        <v>30007</v>
      </c>
      <c r="C8">
        <v>100734</v>
      </c>
      <c r="D8" s="4">
        <f t="shared" si="0"/>
        <v>130741</v>
      </c>
    </row>
    <row r="9" spans="1:7" x14ac:dyDescent="0.25">
      <c r="A9" s="1">
        <f t="shared" si="1"/>
        <v>43473</v>
      </c>
      <c r="B9">
        <v>30090</v>
      </c>
      <c r="C9">
        <v>100290</v>
      </c>
      <c r="D9" s="4">
        <f t="shared" si="0"/>
        <v>130380</v>
      </c>
      <c r="F9" s="5">
        <f>(B9/B2)-1</f>
        <v>9.9800399201588341E-4</v>
      </c>
      <c r="G9" s="5">
        <f>(C9/C2)-1</f>
        <v>-3.5767511177347E-3</v>
      </c>
    </row>
    <row r="10" spans="1:7" x14ac:dyDescent="0.25">
      <c r="A10" s="1">
        <f t="shared" si="1"/>
        <v>43474</v>
      </c>
      <c r="B10">
        <v>30026</v>
      </c>
      <c r="C10">
        <v>100976</v>
      </c>
      <c r="D10" s="4">
        <f t="shared" si="0"/>
        <v>131002</v>
      </c>
      <c r="F10" s="5">
        <f t="shared" ref="F10:G10" si="2">(B10/B3)-1</f>
        <v>-4.9931759928101282E-4</v>
      </c>
      <c r="G10" s="5">
        <f t="shared" si="2"/>
        <v>4.9519168870304497E-5</v>
      </c>
    </row>
    <row r="11" spans="1:7" x14ac:dyDescent="0.25">
      <c r="A11" s="1">
        <f t="shared" si="1"/>
        <v>43475</v>
      </c>
      <c r="B11">
        <v>30089</v>
      </c>
      <c r="C11">
        <v>100425</v>
      </c>
      <c r="D11" s="4">
        <f t="shared" si="0"/>
        <v>130514</v>
      </c>
      <c r="F11" s="5">
        <f t="shared" ref="F11:G11" si="3">(B11/B4)-1</f>
        <v>3.3235841531586985E-5</v>
      </c>
      <c r="G11" s="5">
        <f t="shared" si="3"/>
        <v>-2.0966652092690996E-3</v>
      </c>
    </row>
    <row r="12" spans="1:7" x14ac:dyDescent="0.25">
      <c r="A12" s="1">
        <f t="shared" si="1"/>
        <v>43476</v>
      </c>
      <c r="B12">
        <v>30021</v>
      </c>
      <c r="C12">
        <v>100985</v>
      </c>
      <c r="D12" s="4">
        <f t="shared" si="0"/>
        <v>131006</v>
      </c>
      <c r="F12" s="5">
        <f t="shared" ref="F12:G12" si="4">(B12/B5)-1</f>
        <v>-7.3228372665845587E-4</v>
      </c>
      <c r="G12" s="5">
        <f t="shared" si="4"/>
        <v>8.921791951404634E-3</v>
      </c>
    </row>
    <row r="13" spans="1:7" x14ac:dyDescent="0.25">
      <c r="A13" s="1">
        <f t="shared" si="1"/>
        <v>43477</v>
      </c>
      <c r="B13">
        <v>30030</v>
      </c>
      <c r="C13">
        <v>100768</v>
      </c>
      <c r="D13" s="4">
        <f t="shared" si="0"/>
        <v>130798</v>
      </c>
      <c r="F13" s="5">
        <f t="shared" ref="F13:G13" si="5">(B13/B6)-1</f>
        <v>-4.6598322460389419E-4</v>
      </c>
      <c r="G13" s="5">
        <f t="shared" si="5"/>
        <v>6.1807906219732978E-3</v>
      </c>
    </row>
    <row r="14" spans="1:7" x14ac:dyDescent="0.25">
      <c r="A14" s="1">
        <f t="shared" si="1"/>
        <v>43478</v>
      </c>
      <c r="B14">
        <v>30096</v>
      </c>
      <c r="C14">
        <v>100271</v>
      </c>
      <c r="D14" s="4">
        <f t="shared" si="0"/>
        <v>130367</v>
      </c>
      <c r="F14" s="5">
        <f t="shared" ref="F14:G14" si="6">(B14/B7)-1</f>
        <v>8.6464915197881353E-4</v>
      </c>
      <c r="G14" s="5">
        <f t="shared" si="6"/>
        <v>2.2389476945834375E-3</v>
      </c>
    </row>
    <row r="15" spans="1:7" x14ac:dyDescent="0.25">
      <c r="A15" s="1">
        <f t="shared" si="1"/>
        <v>43479</v>
      </c>
      <c r="B15">
        <v>30092</v>
      </c>
      <c r="C15">
        <v>100633</v>
      </c>
      <c r="D15" s="4">
        <f t="shared" si="0"/>
        <v>130725</v>
      </c>
      <c r="F15" s="5">
        <f t="shared" ref="F15:G15" si="7">(B15/B8)-1</f>
        <v>2.8326723764455775E-3</v>
      </c>
      <c r="G15" s="5">
        <f t="shared" si="7"/>
        <v>-1.002640617864925E-3</v>
      </c>
    </row>
    <row r="16" spans="1:7" x14ac:dyDescent="0.25">
      <c r="A16" s="1">
        <f t="shared" si="1"/>
        <v>43480</v>
      </c>
      <c r="B16">
        <v>30050</v>
      </c>
      <c r="C16">
        <v>100692</v>
      </c>
      <c r="D16" s="4">
        <f t="shared" si="0"/>
        <v>130742</v>
      </c>
      <c r="F16" s="5">
        <f t="shared" ref="F16:G16" si="8">(B16/B9)-1</f>
        <v>-1.3293452974409981E-3</v>
      </c>
      <c r="G16" s="5">
        <f t="shared" si="8"/>
        <v>4.00837571043966E-3</v>
      </c>
    </row>
    <row r="17" spans="1:7" x14ac:dyDescent="0.25">
      <c r="A17" s="1">
        <f t="shared" si="1"/>
        <v>43481</v>
      </c>
      <c r="B17">
        <v>30011</v>
      </c>
      <c r="C17">
        <v>100854</v>
      </c>
      <c r="D17" s="4">
        <f t="shared" si="0"/>
        <v>130865</v>
      </c>
      <c r="F17" s="5">
        <f t="shared" ref="F17:G17" si="9">(B17/B10)-1</f>
        <v>-4.9956704189701995E-4</v>
      </c>
      <c r="G17" s="5">
        <f t="shared" si="9"/>
        <v>-1.20820789098397E-3</v>
      </c>
    </row>
    <row r="18" spans="1:7" x14ac:dyDescent="0.25">
      <c r="A18" s="1">
        <f t="shared" si="1"/>
        <v>43482</v>
      </c>
      <c r="B18">
        <v>30056</v>
      </c>
      <c r="C18">
        <v>100354</v>
      </c>
      <c r="D18" s="4">
        <f t="shared" si="0"/>
        <v>130410</v>
      </c>
      <c r="F18" s="5">
        <f t="shared" ref="F18:G18" si="10">(B18/B11)-1</f>
        <v>-1.0967463192528282E-3</v>
      </c>
      <c r="G18" s="5">
        <f t="shared" si="10"/>
        <v>-7.069952701020954E-4</v>
      </c>
    </row>
    <row r="19" spans="1:7" x14ac:dyDescent="0.25">
      <c r="A19" s="1">
        <f t="shared" si="1"/>
        <v>43483</v>
      </c>
      <c r="B19">
        <v>30030</v>
      </c>
      <c r="C19">
        <v>100450</v>
      </c>
      <c r="D19" s="4">
        <f t="shared" si="0"/>
        <v>130480</v>
      </c>
      <c r="F19" s="5">
        <f t="shared" ref="F19:G19" si="11">(B19/B12)-1</f>
        <v>2.9979014689707206E-4</v>
      </c>
      <c r="G19" s="5">
        <f t="shared" si="11"/>
        <v>-5.2978165074021311E-3</v>
      </c>
    </row>
    <row r="20" spans="1:7" x14ac:dyDescent="0.25">
      <c r="A20" s="1">
        <f t="shared" si="1"/>
        <v>43484</v>
      </c>
      <c r="B20">
        <v>30098</v>
      </c>
      <c r="C20">
        <v>100964</v>
      </c>
      <c r="D20" s="4">
        <f t="shared" si="0"/>
        <v>131062</v>
      </c>
      <c r="F20" s="5">
        <f t="shared" ref="F20:F83" si="12">(B20/B13)-1</f>
        <v>2.2644022644022765E-3</v>
      </c>
      <c r="G20" s="5">
        <f t="shared" ref="G20:G83" si="13">(C20/C13)-1</f>
        <v>1.9450619244203438E-3</v>
      </c>
    </row>
    <row r="21" spans="1:7" x14ac:dyDescent="0.25">
      <c r="A21" s="1">
        <f t="shared" si="1"/>
        <v>43485</v>
      </c>
      <c r="B21">
        <v>30084</v>
      </c>
      <c r="C21">
        <v>134095</v>
      </c>
      <c r="D21" s="4">
        <f t="shared" si="0"/>
        <v>164179</v>
      </c>
      <c r="F21" s="5">
        <f t="shared" si="12"/>
        <v>-3.9872408293462058E-4</v>
      </c>
      <c r="G21" s="5">
        <f t="shared" si="13"/>
        <v>0.33732584695475265</v>
      </c>
    </row>
    <row r="22" spans="1:7" x14ac:dyDescent="0.25">
      <c r="A22" s="1">
        <f t="shared" si="1"/>
        <v>43486</v>
      </c>
      <c r="B22">
        <v>30072</v>
      </c>
      <c r="C22">
        <v>100816</v>
      </c>
      <c r="D22" s="4">
        <f t="shared" si="0"/>
        <v>130888</v>
      </c>
      <c r="F22" s="5">
        <f t="shared" si="12"/>
        <v>-6.6462847268378145E-4</v>
      </c>
      <c r="G22" s="5">
        <f t="shared" si="13"/>
        <v>1.8184889648524827E-3</v>
      </c>
    </row>
    <row r="23" spans="1:7" x14ac:dyDescent="0.25">
      <c r="A23" s="1">
        <f t="shared" si="1"/>
        <v>43487</v>
      </c>
      <c r="B23">
        <v>30081</v>
      </c>
      <c r="C23">
        <v>100563</v>
      </c>
      <c r="D23" s="4">
        <f t="shared" si="0"/>
        <v>130644</v>
      </c>
      <c r="F23" s="5">
        <f t="shared" si="12"/>
        <v>1.0316139767054811E-3</v>
      </c>
      <c r="G23" s="5">
        <f t="shared" si="13"/>
        <v>-1.2811345489214254E-3</v>
      </c>
    </row>
    <row r="24" spans="1:7" x14ac:dyDescent="0.25">
      <c r="A24" s="1">
        <f t="shared" si="1"/>
        <v>43488</v>
      </c>
      <c r="B24">
        <v>30088</v>
      </c>
      <c r="C24">
        <v>100164</v>
      </c>
      <c r="D24" s="4">
        <f t="shared" si="0"/>
        <v>130252</v>
      </c>
      <c r="F24" s="5">
        <f t="shared" si="12"/>
        <v>2.5657259005031907E-3</v>
      </c>
      <c r="G24" s="5">
        <f t="shared" si="13"/>
        <v>-6.841572966862941E-3</v>
      </c>
    </row>
    <row r="25" spans="1:7" x14ac:dyDescent="0.25">
      <c r="A25" s="1">
        <f t="shared" si="1"/>
        <v>43489</v>
      </c>
      <c r="B25">
        <v>30059</v>
      </c>
      <c r="C25">
        <v>100070</v>
      </c>
      <c r="D25" s="4">
        <f t="shared" si="0"/>
        <v>130129</v>
      </c>
      <c r="F25" s="5">
        <f t="shared" si="12"/>
        <v>9.9813681128546605E-5</v>
      </c>
      <c r="G25" s="5">
        <f t="shared" si="13"/>
        <v>-2.8299818642006924E-3</v>
      </c>
    </row>
    <row r="26" spans="1:7" x14ac:dyDescent="0.25">
      <c r="A26" s="1">
        <f t="shared" si="1"/>
        <v>43490</v>
      </c>
      <c r="B26">
        <v>30060</v>
      </c>
      <c r="C26">
        <v>100199</v>
      </c>
      <c r="D26" s="4">
        <f t="shared" si="0"/>
        <v>130259</v>
      </c>
      <c r="F26" s="5">
        <f t="shared" si="12"/>
        <v>9.990009990010762E-4</v>
      </c>
      <c r="G26" s="5">
        <f t="shared" si="13"/>
        <v>-2.4987555998009503E-3</v>
      </c>
    </row>
    <row r="27" spans="1:7" x14ac:dyDescent="0.25">
      <c r="A27" s="1">
        <f t="shared" si="1"/>
        <v>43491</v>
      </c>
      <c r="B27">
        <v>30000</v>
      </c>
      <c r="C27">
        <v>100966</v>
      </c>
      <c r="D27" s="4">
        <f t="shared" si="0"/>
        <v>130966</v>
      </c>
      <c r="F27" s="5">
        <f t="shared" si="12"/>
        <v>-3.2560303010167324E-3</v>
      </c>
      <c r="G27" s="5">
        <f t="shared" si="13"/>
        <v>1.9809040846308079E-5</v>
      </c>
    </row>
    <row r="28" spans="1:7" x14ac:dyDescent="0.25">
      <c r="A28" s="1">
        <f t="shared" si="1"/>
        <v>43492</v>
      </c>
      <c r="B28">
        <v>30004</v>
      </c>
      <c r="C28">
        <v>100757</v>
      </c>
      <c r="D28" s="4">
        <f t="shared" si="0"/>
        <v>130761</v>
      </c>
      <c r="F28" s="5">
        <f t="shared" si="12"/>
        <v>-2.6592208482913993E-3</v>
      </c>
      <c r="G28" s="5">
        <f t="shared" si="13"/>
        <v>-0.24861478802341619</v>
      </c>
    </row>
    <row r="29" spans="1:7" x14ac:dyDescent="0.25">
      <c r="A29" s="1">
        <f t="shared" si="1"/>
        <v>43493</v>
      </c>
      <c r="B29">
        <v>30047</v>
      </c>
      <c r="C29">
        <v>100393</v>
      </c>
      <c r="D29" s="4">
        <f t="shared" si="0"/>
        <v>130440</v>
      </c>
      <c r="F29" s="5">
        <f t="shared" si="12"/>
        <v>-8.3133812184088551E-4</v>
      </c>
      <c r="G29" s="5">
        <f t="shared" si="13"/>
        <v>-4.1957625773686447E-3</v>
      </c>
    </row>
    <row r="30" spans="1:7" x14ac:dyDescent="0.25">
      <c r="A30" s="1">
        <f t="shared" si="1"/>
        <v>43494</v>
      </c>
      <c r="B30">
        <v>30004</v>
      </c>
      <c r="C30">
        <v>100045</v>
      </c>
      <c r="D30" s="4">
        <f t="shared" si="0"/>
        <v>130049</v>
      </c>
      <c r="F30" s="5">
        <f t="shared" si="12"/>
        <v>-2.5597553272830309E-3</v>
      </c>
      <c r="G30" s="5">
        <f t="shared" si="13"/>
        <v>-5.1509998707277571E-3</v>
      </c>
    </row>
    <row r="31" spans="1:7" x14ac:dyDescent="0.25">
      <c r="A31" s="1">
        <f t="shared" si="1"/>
        <v>43495</v>
      </c>
      <c r="B31">
        <v>30043</v>
      </c>
      <c r="C31">
        <v>100016</v>
      </c>
      <c r="D31" s="4">
        <f t="shared" si="0"/>
        <v>130059</v>
      </c>
      <c r="F31" s="5">
        <f t="shared" si="12"/>
        <v>-1.4956128689178616E-3</v>
      </c>
      <c r="G31" s="5">
        <f t="shared" si="13"/>
        <v>-1.4775767740904389E-3</v>
      </c>
    </row>
    <row r="32" spans="1:7" x14ac:dyDescent="0.25">
      <c r="A32" s="1">
        <f t="shared" si="1"/>
        <v>43496</v>
      </c>
      <c r="B32">
        <v>30005</v>
      </c>
      <c r="C32">
        <v>100285</v>
      </c>
      <c r="D32" s="4">
        <f t="shared" si="0"/>
        <v>130290</v>
      </c>
      <c r="F32" s="5">
        <f t="shared" si="12"/>
        <v>-1.7964669483349072E-3</v>
      </c>
      <c r="G32" s="5">
        <f t="shared" si="13"/>
        <v>2.1484960527631269E-3</v>
      </c>
    </row>
    <row r="33" spans="1:7" x14ac:dyDescent="0.25">
      <c r="A33" s="1">
        <f t="shared" si="1"/>
        <v>43497</v>
      </c>
      <c r="B33">
        <v>30029</v>
      </c>
      <c r="C33">
        <v>100562</v>
      </c>
      <c r="D33" s="4">
        <f t="shared" si="0"/>
        <v>130591</v>
      </c>
      <c r="F33" s="5">
        <f t="shared" si="12"/>
        <v>-1.0312707917498054E-3</v>
      </c>
      <c r="G33" s="5">
        <f t="shared" si="13"/>
        <v>3.6227906466133053E-3</v>
      </c>
    </row>
    <row r="34" spans="1:7" x14ac:dyDescent="0.25">
      <c r="A34" s="1">
        <f t="shared" si="1"/>
        <v>43498</v>
      </c>
      <c r="B34">
        <v>30099</v>
      </c>
      <c r="C34">
        <v>100298</v>
      </c>
      <c r="D34" s="4">
        <f t="shared" si="0"/>
        <v>130397</v>
      </c>
      <c r="F34" s="5">
        <f t="shared" si="12"/>
        <v>3.3000000000000806E-3</v>
      </c>
      <c r="G34" s="5">
        <f t="shared" si="13"/>
        <v>-6.6160885842758699E-3</v>
      </c>
    </row>
    <row r="35" spans="1:7" x14ac:dyDescent="0.25">
      <c r="A35" s="1">
        <f t="shared" si="1"/>
        <v>43499</v>
      </c>
      <c r="B35">
        <v>30083</v>
      </c>
      <c r="C35">
        <v>100583</v>
      </c>
      <c r="D35" s="4">
        <f t="shared" si="0"/>
        <v>130666</v>
      </c>
      <c r="F35" s="5">
        <f t="shared" si="12"/>
        <v>2.6329822690307481E-3</v>
      </c>
      <c r="G35" s="5">
        <f t="shared" si="13"/>
        <v>-1.7269271613883364E-3</v>
      </c>
    </row>
    <row r="36" spans="1:7" x14ac:dyDescent="0.25">
      <c r="A36" s="1">
        <f t="shared" si="1"/>
        <v>43500</v>
      </c>
      <c r="B36">
        <v>30061</v>
      </c>
      <c r="C36">
        <v>100594</v>
      </c>
      <c r="D36" s="4">
        <f t="shared" si="0"/>
        <v>130655</v>
      </c>
      <c r="F36" s="5">
        <f t="shared" si="12"/>
        <v>4.6593669917127656E-4</v>
      </c>
      <c r="G36" s="5">
        <f t="shared" si="13"/>
        <v>2.0021316227227803E-3</v>
      </c>
    </row>
    <row r="37" spans="1:7" x14ac:dyDescent="0.25">
      <c r="A37" s="1">
        <f t="shared" si="1"/>
        <v>43501</v>
      </c>
      <c r="B37">
        <v>30050</v>
      </c>
      <c r="C37">
        <v>100707</v>
      </c>
      <c r="D37" s="4">
        <f t="shared" si="0"/>
        <v>130757</v>
      </c>
      <c r="F37" s="5">
        <f t="shared" si="12"/>
        <v>1.5331289161444328E-3</v>
      </c>
      <c r="G37" s="5">
        <f t="shared" si="13"/>
        <v>6.6170223399470984E-3</v>
      </c>
    </row>
    <row r="38" spans="1:7" x14ac:dyDescent="0.25">
      <c r="A38" s="1">
        <f t="shared" si="1"/>
        <v>43502</v>
      </c>
      <c r="B38">
        <v>30039</v>
      </c>
      <c r="C38">
        <v>100445</v>
      </c>
      <c r="D38" s="4">
        <f t="shared" si="0"/>
        <v>130484</v>
      </c>
      <c r="F38" s="5">
        <f t="shared" si="12"/>
        <v>-1.3314249575613335E-4</v>
      </c>
      <c r="G38" s="5">
        <f t="shared" si="13"/>
        <v>4.2893137098063416E-3</v>
      </c>
    </row>
    <row r="39" spans="1:7" x14ac:dyDescent="0.25">
      <c r="A39" s="1">
        <f t="shared" si="1"/>
        <v>43503</v>
      </c>
      <c r="B39">
        <v>30038</v>
      </c>
      <c r="C39">
        <v>100253</v>
      </c>
      <c r="D39" s="4">
        <f t="shared" si="0"/>
        <v>130291</v>
      </c>
      <c r="F39" s="5">
        <f t="shared" si="12"/>
        <v>1.0998166972171486E-3</v>
      </c>
      <c r="G39" s="5">
        <f t="shared" si="13"/>
        <v>-3.1909059181334243E-4</v>
      </c>
    </row>
    <row r="40" spans="1:7" x14ac:dyDescent="0.25">
      <c r="A40" s="1">
        <f t="shared" si="1"/>
        <v>43504</v>
      </c>
      <c r="B40">
        <v>30028</v>
      </c>
      <c r="C40">
        <v>100743</v>
      </c>
      <c r="D40" s="4">
        <f t="shared" si="0"/>
        <v>130771</v>
      </c>
      <c r="F40" s="5">
        <f t="shared" si="12"/>
        <v>-3.3301142229213987E-5</v>
      </c>
      <c r="G40" s="5">
        <f t="shared" si="13"/>
        <v>1.7998846482767394E-3</v>
      </c>
    </row>
    <row r="41" spans="1:7" x14ac:dyDescent="0.25">
      <c r="A41" s="1">
        <f t="shared" si="1"/>
        <v>43505</v>
      </c>
      <c r="B41">
        <v>30020</v>
      </c>
      <c r="C41">
        <v>100320</v>
      </c>
      <c r="D41" s="4">
        <f t="shared" si="0"/>
        <v>130340</v>
      </c>
      <c r="F41" s="5">
        <f t="shared" si="12"/>
        <v>-2.624671916010457E-3</v>
      </c>
      <c r="G41" s="5">
        <f t="shared" si="13"/>
        <v>2.1934634788323137E-4</v>
      </c>
    </row>
    <row r="42" spans="1:7" x14ac:dyDescent="0.25">
      <c r="A42" s="1">
        <f t="shared" si="1"/>
        <v>43506</v>
      </c>
      <c r="B42">
        <v>30034</v>
      </c>
      <c r="C42">
        <v>100182</v>
      </c>
      <c r="D42" s="4">
        <f t="shared" si="0"/>
        <v>130216</v>
      </c>
      <c r="F42" s="5">
        <f t="shared" si="12"/>
        <v>-1.6288269122095578E-3</v>
      </c>
      <c r="G42" s="5">
        <f t="shared" si="13"/>
        <v>-3.9867572054920197E-3</v>
      </c>
    </row>
    <row r="43" spans="1:7" x14ac:dyDescent="0.25">
      <c r="A43" s="1">
        <f t="shared" si="1"/>
        <v>43507</v>
      </c>
      <c r="B43">
        <v>30086</v>
      </c>
      <c r="C43">
        <v>100200</v>
      </c>
      <c r="D43" s="4">
        <f t="shared" si="0"/>
        <v>130286</v>
      </c>
      <c r="F43" s="5">
        <f t="shared" si="12"/>
        <v>8.3164232726784526E-4</v>
      </c>
      <c r="G43" s="5">
        <f t="shared" si="13"/>
        <v>-3.9167345964967737E-3</v>
      </c>
    </row>
    <row r="44" spans="1:7" x14ac:dyDescent="0.25">
      <c r="A44" s="1">
        <f t="shared" si="1"/>
        <v>43508</v>
      </c>
      <c r="B44">
        <v>30059</v>
      </c>
      <c r="C44">
        <v>100627</v>
      </c>
      <c r="D44" s="4">
        <f t="shared" si="0"/>
        <v>130686</v>
      </c>
      <c r="F44" s="5">
        <f t="shared" si="12"/>
        <v>2.9950083194685284E-4</v>
      </c>
      <c r="G44" s="5">
        <f t="shared" si="13"/>
        <v>-7.943837071902049E-4</v>
      </c>
    </row>
    <row r="45" spans="1:7" x14ac:dyDescent="0.25">
      <c r="A45" s="1">
        <f t="shared" si="1"/>
        <v>43509</v>
      </c>
      <c r="B45">
        <v>30077</v>
      </c>
      <c r="C45">
        <v>100785</v>
      </c>
      <c r="D45" s="4">
        <f t="shared" si="0"/>
        <v>130862</v>
      </c>
      <c r="F45" s="5">
        <f t="shared" si="12"/>
        <v>1.2650221378873727E-3</v>
      </c>
      <c r="G45" s="5">
        <f t="shared" si="13"/>
        <v>3.3849370302154735E-3</v>
      </c>
    </row>
    <row r="46" spans="1:7" x14ac:dyDescent="0.25">
      <c r="A46" s="1">
        <f t="shared" si="1"/>
        <v>43510</v>
      </c>
      <c r="B46">
        <v>30079</v>
      </c>
      <c r="C46">
        <v>100263</v>
      </c>
      <c r="D46" s="4">
        <f t="shared" si="0"/>
        <v>130342</v>
      </c>
      <c r="F46" s="5">
        <f t="shared" si="12"/>
        <v>1.3649377455222655E-3</v>
      </c>
      <c r="G46" s="5">
        <f t="shared" si="13"/>
        <v>9.9747638474756428E-5</v>
      </c>
    </row>
    <row r="47" spans="1:7" x14ac:dyDescent="0.25">
      <c r="A47" s="1">
        <f t="shared" si="1"/>
        <v>43511</v>
      </c>
      <c r="B47">
        <v>30008</v>
      </c>
      <c r="C47">
        <v>100446</v>
      </c>
      <c r="D47" s="4">
        <f t="shared" si="0"/>
        <v>130454</v>
      </c>
      <c r="F47" s="5">
        <f t="shared" si="12"/>
        <v>-6.6604502464362447E-4</v>
      </c>
      <c r="G47" s="5">
        <f t="shared" si="13"/>
        <v>-2.9480956493255217E-3</v>
      </c>
    </row>
    <row r="48" spans="1:7" x14ac:dyDescent="0.25">
      <c r="A48" s="1">
        <f t="shared" si="1"/>
        <v>43512</v>
      </c>
      <c r="B48">
        <v>30069</v>
      </c>
      <c r="C48">
        <v>100185</v>
      </c>
      <c r="D48" s="4">
        <f t="shared" si="0"/>
        <v>130254</v>
      </c>
      <c r="F48" s="5">
        <f t="shared" si="12"/>
        <v>1.6322451698866924E-3</v>
      </c>
      <c r="G48" s="5">
        <f t="shared" si="13"/>
        <v>-1.3456937799043445E-3</v>
      </c>
    </row>
    <row r="49" spans="1:7" x14ac:dyDescent="0.25">
      <c r="A49" s="1">
        <f t="shared" si="1"/>
        <v>43513</v>
      </c>
      <c r="B49">
        <v>30029</v>
      </c>
      <c r="C49">
        <v>100092</v>
      </c>
      <c r="D49" s="4">
        <f t="shared" si="0"/>
        <v>130121</v>
      </c>
      <c r="F49" s="5">
        <f t="shared" si="12"/>
        <v>-1.6647799160951493E-4</v>
      </c>
      <c r="G49" s="5">
        <f t="shared" si="13"/>
        <v>-8.9836497574413698E-4</v>
      </c>
    </row>
    <row r="50" spans="1:7" x14ac:dyDescent="0.25">
      <c r="A50" s="1">
        <f t="shared" si="1"/>
        <v>43514</v>
      </c>
      <c r="B50">
        <v>30038</v>
      </c>
      <c r="C50">
        <v>100020</v>
      </c>
      <c r="D50" s="4">
        <f t="shared" si="0"/>
        <v>130058</v>
      </c>
      <c r="F50" s="5">
        <f t="shared" si="12"/>
        <v>-1.5954264441933041E-3</v>
      </c>
      <c r="G50" s="5">
        <f t="shared" si="13"/>
        <v>-1.79640718562879E-3</v>
      </c>
    </row>
    <row r="51" spans="1:7" x14ac:dyDescent="0.25">
      <c r="A51" s="1">
        <f t="shared" si="1"/>
        <v>43515</v>
      </c>
      <c r="B51">
        <v>30026</v>
      </c>
      <c r="C51">
        <v>100038</v>
      </c>
      <c r="D51" s="4">
        <f t="shared" si="0"/>
        <v>130064</v>
      </c>
      <c r="F51" s="5">
        <f t="shared" si="12"/>
        <v>-1.0978409128713507E-3</v>
      </c>
      <c r="G51" s="5">
        <f t="shared" si="13"/>
        <v>-5.8532998101901157E-3</v>
      </c>
    </row>
    <row r="52" spans="1:7" x14ac:dyDescent="0.25">
      <c r="A52" s="1">
        <f t="shared" si="1"/>
        <v>43516</v>
      </c>
      <c r="B52">
        <v>30057</v>
      </c>
      <c r="C52">
        <v>100302</v>
      </c>
      <c r="D52" s="4">
        <f t="shared" si="0"/>
        <v>130359</v>
      </c>
      <c r="F52" s="5">
        <f t="shared" si="12"/>
        <v>-6.6495993616388915E-4</v>
      </c>
      <c r="G52" s="5">
        <f t="shared" si="13"/>
        <v>-4.7923798184253963E-3</v>
      </c>
    </row>
    <row r="53" spans="1:7" x14ac:dyDescent="0.25">
      <c r="A53" s="1">
        <f t="shared" si="1"/>
        <v>43517</v>
      </c>
      <c r="B53">
        <v>30084</v>
      </c>
      <c r="C53">
        <v>100301</v>
      </c>
      <c r="D53" s="4">
        <f t="shared" si="0"/>
        <v>130385</v>
      </c>
      <c r="F53" s="5">
        <f t="shared" si="12"/>
        <v>1.6622893048312548E-4</v>
      </c>
      <c r="G53" s="5">
        <f t="shared" si="13"/>
        <v>3.7900322152739641E-4</v>
      </c>
    </row>
    <row r="54" spans="1:7" x14ac:dyDescent="0.25">
      <c r="A54" s="1">
        <f t="shared" si="1"/>
        <v>43518</v>
      </c>
      <c r="B54">
        <v>30072</v>
      </c>
      <c r="C54">
        <v>100339</v>
      </c>
      <c r="D54" s="4">
        <f t="shared" si="0"/>
        <v>130411</v>
      </c>
      <c r="F54" s="5">
        <f t="shared" si="12"/>
        <v>2.1327645961077835E-3</v>
      </c>
      <c r="G54" s="5">
        <f t="shared" si="13"/>
        <v>-1.0652489895067729E-3</v>
      </c>
    </row>
    <row r="55" spans="1:7" x14ac:dyDescent="0.25">
      <c r="A55" s="1">
        <f t="shared" si="1"/>
        <v>43519</v>
      </c>
      <c r="B55">
        <v>30009</v>
      </c>
      <c r="C55">
        <v>100861</v>
      </c>
      <c r="D55" s="4">
        <f t="shared" si="0"/>
        <v>130870</v>
      </c>
      <c r="F55" s="5">
        <f t="shared" si="12"/>
        <v>-1.9954105557218327E-3</v>
      </c>
      <c r="G55" s="5">
        <f t="shared" si="13"/>
        <v>6.7475170933772866E-3</v>
      </c>
    </row>
    <row r="56" spans="1:7" x14ac:dyDescent="0.25">
      <c r="A56" s="1">
        <f t="shared" si="1"/>
        <v>43520</v>
      </c>
      <c r="B56">
        <v>30091</v>
      </c>
      <c r="C56">
        <v>100306</v>
      </c>
      <c r="D56" s="4">
        <f t="shared" si="0"/>
        <v>130397</v>
      </c>
      <c r="F56" s="5">
        <f t="shared" si="12"/>
        <v>2.0646708182090467E-3</v>
      </c>
      <c r="G56" s="5">
        <f t="shared" si="13"/>
        <v>2.1380330096312239E-3</v>
      </c>
    </row>
    <row r="57" spans="1:7" x14ac:dyDescent="0.25">
      <c r="A57" s="1">
        <f t="shared" si="1"/>
        <v>43521</v>
      </c>
      <c r="B57">
        <v>30059</v>
      </c>
      <c r="C57">
        <v>100865</v>
      </c>
      <c r="D57" s="4">
        <f t="shared" si="0"/>
        <v>130924</v>
      </c>
      <c r="F57" s="5">
        <f t="shared" si="12"/>
        <v>6.9911445502368608E-4</v>
      </c>
      <c r="G57" s="5">
        <f t="shared" si="13"/>
        <v>8.4483103379324742E-3</v>
      </c>
    </row>
    <row r="58" spans="1:7" x14ac:dyDescent="0.25">
      <c r="A58" s="1">
        <f t="shared" si="1"/>
        <v>43522</v>
      </c>
      <c r="B58">
        <v>30022</v>
      </c>
      <c r="C58">
        <v>100908</v>
      </c>
      <c r="D58" s="4">
        <f t="shared" si="0"/>
        <v>130930</v>
      </c>
      <c r="F58" s="5">
        <f t="shared" si="12"/>
        <v>-1.3321787783915351E-4</v>
      </c>
      <c r="G58" s="5">
        <f t="shared" si="13"/>
        <v>8.6966952558027444E-3</v>
      </c>
    </row>
    <row r="59" spans="1:7" x14ac:dyDescent="0.25">
      <c r="A59" s="1">
        <f t="shared" si="1"/>
        <v>43523</v>
      </c>
      <c r="B59">
        <v>30040</v>
      </c>
      <c r="C59">
        <v>100517</v>
      </c>
      <c r="D59" s="4">
        <f t="shared" si="0"/>
        <v>130557</v>
      </c>
      <c r="F59" s="5">
        <f t="shared" si="12"/>
        <v>-5.6559204178729949E-4</v>
      </c>
      <c r="G59" s="5">
        <f t="shared" si="13"/>
        <v>2.1435265498195299E-3</v>
      </c>
    </row>
    <row r="60" spans="1:7" x14ac:dyDescent="0.25">
      <c r="A60" s="1">
        <f t="shared" si="1"/>
        <v>43524</v>
      </c>
      <c r="B60">
        <v>30066</v>
      </c>
      <c r="C60">
        <v>100931</v>
      </c>
      <c r="D60" s="4">
        <f t="shared" si="0"/>
        <v>130997</v>
      </c>
      <c r="F60" s="5">
        <f t="shared" si="12"/>
        <v>-5.983246908656259E-4</v>
      </c>
      <c r="G60" s="5">
        <f t="shared" si="13"/>
        <v>6.2810939073389971E-3</v>
      </c>
    </row>
    <row r="61" spans="1:7" x14ac:dyDescent="0.25">
      <c r="A61" s="1">
        <f t="shared" si="1"/>
        <v>43525</v>
      </c>
      <c r="B61">
        <v>30016</v>
      </c>
      <c r="C61">
        <v>100551</v>
      </c>
      <c r="D61" s="4">
        <f t="shared" si="0"/>
        <v>130567</v>
      </c>
      <c r="F61" s="5">
        <f t="shared" si="12"/>
        <v>-1.8621973929237035E-3</v>
      </c>
      <c r="G61" s="5">
        <f t="shared" si="13"/>
        <v>2.1128374809396E-3</v>
      </c>
    </row>
    <row r="62" spans="1:7" x14ac:dyDescent="0.25">
      <c r="A62" s="1">
        <f t="shared" si="1"/>
        <v>43526</v>
      </c>
      <c r="B62">
        <v>30078</v>
      </c>
      <c r="C62">
        <v>100421</v>
      </c>
      <c r="D62" s="4">
        <f t="shared" si="0"/>
        <v>130499</v>
      </c>
      <c r="F62" s="5">
        <f t="shared" si="12"/>
        <v>2.2993102069379656E-3</v>
      </c>
      <c r="G62" s="5">
        <f t="shared" si="13"/>
        <v>-4.3624393967935937E-3</v>
      </c>
    </row>
    <row r="63" spans="1:7" x14ac:dyDescent="0.25">
      <c r="A63" s="1">
        <f t="shared" si="1"/>
        <v>43527</v>
      </c>
      <c r="B63">
        <v>30053</v>
      </c>
      <c r="C63">
        <v>100253</v>
      </c>
      <c r="D63" s="4">
        <f t="shared" si="0"/>
        <v>130306</v>
      </c>
      <c r="F63" s="5">
        <f t="shared" si="12"/>
        <v>-1.2628360639393987E-3</v>
      </c>
      <c r="G63" s="5">
        <f t="shared" si="13"/>
        <v>-5.2838314756842308E-4</v>
      </c>
    </row>
    <row r="64" spans="1:7" x14ac:dyDescent="0.25">
      <c r="A64" s="1">
        <f t="shared" si="1"/>
        <v>43528</v>
      </c>
      <c r="B64">
        <v>30065</v>
      </c>
      <c r="C64">
        <v>100323</v>
      </c>
      <c r="D64" s="4">
        <f t="shared" si="0"/>
        <v>130388</v>
      </c>
      <c r="F64" s="5">
        <f t="shared" si="12"/>
        <v>1.9960743870384157E-4</v>
      </c>
      <c r="G64" s="5">
        <f t="shared" si="13"/>
        <v>-5.3735190601298388E-3</v>
      </c>
    </row>
    <row r="65" spans="1:7" x14ac:dyDescent="0.25">
      <c r="A65" s="1">
        <f t="shared" si="1"/>
        <v>43529</v>
      </c>
      <c r="B65">
        <v>30005</v>
      </c>
      <c r="C65">
        <v>100531</v>
      </c>
      <c r="D65" s="4">
        <f t="shared" si="0"/>
        <v>130536</v>
      </c>
      <c r="F65" s="5">
        <f t="shared" si="12"/>
        <v>-5.6625141562849368E-4</v>
      </c>
      <c r="G65" s="5">
        <f t="shared" si="13"/>
        <v>-3.736076426051449E-3</v>
      </c>
    </row>
    <row r="66" spans="1:7" x14ac:dyDescent="0.25">
      <c r="A66" s="1">
        <f t="shared" si="1"/>
        <v>43530</v>
      </c>
      <c r="B66">
        <v>30050</v>
      </c>
      <c r="C66">
        <v>100185</v>
      </c>
      <c r="D66" s="4">
        <f t="shared" si="0"/>
        <v>130235</v>
      </c>
      <c r="F66" s="5">
        <f t="shared" si="12"/>
        <v>3.3288948069243318E-4</v>
      </c>
      <c r="G66" s="5">
        <f t="shared" si="13"/>
        <v>-3.3029238835221575E-3</v>
      </c>
    </row>
    <row r="67" spans="1:7" x14ac:dyDescent="0.25">
      <c r="A67" s="1">
        <f t="shared" si="1"/>
        <v>43531</v>
      </c>
      <c r="B67">
        <v>30097</v>
      </c>
      <c r="C67">
        <v>100130</v>
      </c>
      <c r="D67" s="4">
        <f t="shared" ref="D67:D130" si="14">SUM(B67:C67)</f>
        <v>130227</v>
      </c>
      <c r="F67" s="5">
        <f t="shared" si="12"/>
        <v>1.0310649903546576E-3</v>
      </c>
      <c r="G67" s="5">
        <f t="shared" si="13"/>
        <v>-7.9361147714775981E-3</v>
      </c>
    </row>
    <row r="68" spans="1:7" x14ac:dyDescent="0.25">
      <c r="A68" s="1">
        <f t="shared" ref="A68:A131" si="15">A67+1</f>
        <v>43532</v>
      </c>
      <c r="B68">
        <v>30050</v>
      </c>
      <c r="C68">
        <v>100708</v>
      </c>
      <c r="D68" s="4">
        <f t="shared" si="14"/>
        <v>130758</v>
      </c>
      <c r="F68" s="5">
        <f t="shared" si="12"/>
        <v>1.1327292110874243E-3</v>
      </c>
      <c r="G68" s="5">
        <f t="shared" si="13"/>
        <v>1.5613967041601118E-3</v>
      </c>
    </row>
    <row r="69" spans="1:7" x14ac:dyDescent="0.25">
      <c r="A69" s="1">
        <f t="shared" si="15"/>
        <v>43533</v>
      </c>
      <c r="B69">
        <v>30094</v>
      </c>
      <c r="C69">
        <v>100545</v>
      </c>
      <c r="D69" s="4">
        <f t="shared" si="14"/>
        <v>130639</v>
      </c>
      <c r="F69" s="5">
        <f t="shared" si="12"/>
        <v>5.3195026265040468E-4</v>
      </c>
      <c r="G69" s="5">
        <f t="shared" si="13"/>
        <v>1.2348014857450629E-3</v>
      </c>
    </row>
    <row r="70" spans="1:7" x14ac:dyDescent="0.25">
      <c r="A70" s="1">
        <f t="shared" si="15"/>
        <v>43534</v>
      </c>
      <c r="B70">
        <v>30063</v>
      </c>
      <c r="C70">
        <v>100037</v>
      </c>
      <c r="D70" s="4">
        <f t="shared" si="14"/>
        <v>130100</v>
      </c>
      <c r="F70" s="5">
        <f t="shared" si="12"/>
        <v>3.327454829800125E-4</v>
      </c>
      <c r="G70" s="5">
        <f t="shared" si="13"/>
        <v>-2.1545489910526072E-3</v>
      </c>
    </row>
    <row r="71" spans="1:7" x14ac:dyDescent="0.25">
      <c r="A71" s="1">
        <f t="shared" si="15"/>
        <v>43535</v>
      </c>
      <c r="B71">
        <v>30093</v>
      </c>
      <c r="C71">
        <v>100749</v>
      </c>
      <c r="D71" s="4">
        <f t="shared" si="14"/>
        <v>130842</v>
      </c>
      <c r="F71" s="5">
        <f t="shared" si="12"/>
        <v>9.3131548311986556E-4</v>
      </c>
      <c r="G71" s="5">
        <f t="shared" si="13"/>
        <v>4.2462845010615702E-3</v>
      </c>
    </row>
    <row r="72" spans="1:7" x14ac:dyDescent="0.25">
      <c r="A72" s="1">
        <f t="shared" si="15"/>
        <v>43536</v>
      </c>
      <c r="B72">
        <v>30074</v>
      </c>
      <c r="C72">
        <v>100029</v>
      </c>
      <c r="D72" s="4">
        <f t="shared" si="14"/>
        <v>130103</v>
      </c>
      <c r="F72" s="5">
        <f t="shared" si="12"/>
        <v>2.2996167305449067E-3</v>
      </c>
      <c r="G72" s="5">
        <f t="shared" si="13"/>
        <v>-4.9934845967910535E-3</v>
      </c>
    </row>
    <row r="73" spans="1:7" x14ac:dyDescent="0.25">
      <c r="A73" s="1">
        <f t="shared" si="15"/>
        <v>43537</v>
      </c>
      <c r="B73">
        <v>30045</v>
      </c>
      <c r="C73">
        <v>100156</v>
      </c>
      <c r="D73" s="4">
        <f t="shared" si="14"/>
        <v>130201</v>
      </c>
      <c r="F73" s="5">
        <f t="shared" si="12"/>
        <v>-1.6638935108148623E-4</v>
      </c>
      <c r="G73" s="5">
        <f t="shared" si="13"/>
        <v>-2.8946449069222613E-4</v>
      </c>
    </row>
    <row r="74" spans="1:7" x14ac:dyDescent="0.25">
      <c r="A74" s="1">
        <f t="shared" si="15"/>
        <v>43538</v>
      </c>
      <c r="B74">
        <v>30085</v>
      </c>
      <c r="C74">
        <v>100346</v>
      </c>
      <c r="D74" s="4">
        <f t="shared" si="14"/>
        <v>130431</v>
      </c>
      <c r="F74" s="5">
        <f t="shared" si="12"/>
        <v>-3.9871083496689774E-4</v>
      </c>
      <c r="G74" s="5">
        <f t="shared" si="13"/>
        <v>2.1571956456607477E-3</v>
      </c>
    </row>
    <row r="75" spans="1:7" x14ac:dyDescent="0.25">
      <c r="A75" s="1">
        <f t="shared" si="15"/>
        <v>43539</v>
      </c>
      <c r="B75">
        <v>30001</v>
      </c>
      <c r="C75">
        <v>100059</v>
      </c>
      <c r="D75" s="4">
        <f t="shared" si="14"/>
        <v>130060</v>
      </c>
      <c r="F75" s="5">
        <f t="shared" si="12"/>
        <v>-1.6306156405989647E-3</v>
      </c>
      <c r="G75" s="5">
        <f t="shared" si="13"/>
        <v>-6.4443738332604639E-3</v>
      </c>
    </row>
    <row r="76" spans="1:7" x14ac:dyDescent="0.25">
      <c r="A76" s="1">
        <f t="shared" si="15"/>
        <v>43540</v>
      </c>
      <c r="B76">
        <v>30087</v>
      </c>
      <c r="C76">
        <v>100188</v>
      </c>
      <c r="D76" s="4">
        <f t="shared" si="14"/>
        <v>130275</v>
      </c>
      <c r="F76" s="5">
        <f t="shared" si="12"/>
        <v>-2.3260450588158399E-4</v>
      </c>
      <c r="G76" s="5">
        <f t="shared" si="13"/>
        <v>-3.5506489631508265E-3</v>
      </c>
    </row>
    <row r="77" spans="1:7" x14ac:dyDescent="0.25">
      <c r="A77" s="1">
        <f t="shared" si="15"/>
        <v>43541</v>
      </c>
      <c r="B77">
        <v>30016</v>
      </c>
      <c r="C77">
        <v>100223</v>
      </c>
      <c r="D77" s="4">
        <f t="shared" si="14"/>
        <v>130239</v>
      </c>
      <c r="F77" s="5">
        <f t="shared" si="12"/>
        <v>-1.5633835611881253E-3</v>
      </c>
      <c r="G77" s="5">
        <f t="shared" si="13"/>
        <v>1.859312054539819E-3</v>
      </c>
    </row>
    <row r="78" spans="1:7" x14ac:dyDescent="0.25">
      <c r="A78" s="1">
        <f t="shared" si="15"/>
        <v>43542</v>
      </c>
      <c r="B78">
        <v>30087</v>
      </c>
      <c r="C78">
        <v>100825</v>
      </c>
      <c r="D78" s="4">
        <f t="shared" si="14"/>
        <v>130912</v>
      </c>
      <c r="F78" s="5">
        <f t="shared" si="12"/>
        <v>-1.9938191606017064E-4</v>
      </c>
      <c r="G78" s="5">
        <f t="shared" si="13"/>
        <v>7.5434991910583449E-4</v>
      </c>
    </row>
    <row r="79" spans="1:7" x14ac:dyDescent="0.25">
      <c r="A79" s="1">
        <f t="shared" si="15"/>
        <v>43543</v>
      </c>
      <c r="B79">
        <v>30100</v>
      </c>
      <c r="C79">
        <v>100256</v>
      </c>
      <c r="D79" s="4">
        <f t="shared" si="14"/>
        <v>130356</v>
      </c>
      <c r="F79" s="5">
        <f t="shared" si="12"/>
        <v>8.6453414909892778E-4</v>
      </c>
      <c r="G79" s="5">
        <f t="shared" si="13"/>
        <v>2.269341890851706E-3</v>
      </c>
    </row>
    <row r="80" spans="1:7" x14ac:dyDescent="0.25">
      <c r="A80" s="1">
        <f t="shared" si="15"/>
        <v>43544</v>
      </c>
      <c r="B80">
        <v>30020</v>
      </c>
      <c r="C80">
        <v>100297</v>
      </c>
      <c r="D80" s="4">
        <f t="shared" si="14"/>
        <v>130317</v>
      </c>
      <c r="F80" s="5">
        <f t="shared" si="12"/>
        <v>-8.3208520552502385E-4</v>
      </c>
      <c r="G80" s="5">
        <f t="shared" si="13"/>
        <v>1.4078038260314507E-3</v>
      </c>
    </row>
    <row r="81" spans="1:7" x14ac:dyDescent="0.25">
      <c r="A81" s="1">
        <f t="shared" si="15"/>
        <v>43545</v>
      </c>
      <c r="B81">
        <v>30087</v>
      </c>
      <c r="C81">
        <v>100133</v>
      </c>
      <c r="D81" s="4">
        <f t="shared" si="14"/>
        <v>130220</v>
      </c>
      <c r="F81" s="5">
        <f t="shared" si="12"/>
        <v>6.6478311450790528E-5</v>
      </c>
      <c r="G81" s="5">
        <f t="shared" si="13"/>
        <v>-2.122655611583868E-3</v>
      </c>
    </row>
    <row r="82" spans="1:7" x14ac:dyDescent="0.25">
      <c r="A82" s="1">
        <f t="shared" si="15"/>
        <v>43546</v>
      </c>
      <c r="B82">
        <v>30002</v>
      </c>
      <c r="C82">
        <v>100465</v>
      </c>
      <c r="D82" s="4">
        <f t="shared" si="14"/>
        <v>130467</v>
      </c>
      <c r="F82" s="5">
        <f t="shared" si="12"/>
        <v>3.3332222259208066E-5</v>
      </c>
      <c r="G82" s="5">
        <f t="shared" si="13"/>
        <v>4.0576060124526414E-3</v>
      </c>
    </row>
    <row r="83" spans="1:7" x14ac:dyDescent="0.25">
      <c r="A83" s="1">
        <f t="shared" si="15"/>
        <v>43547</v>
      </c>
      <c r="B83">
        <v>30015</v>
      </c>
      <c r="C83">
        <v>100000</v>
      </c>
      <c r="D83" s="4">
        <f t="shared" si="14"/>
        <v>130015</v>
      </c>
      <c r="F83" s="5">
        <f t="shared" si="12"/>
        <v>-2.3930601256356709E-3</v>
      </c>
      <c r="G83" s="5">
        <f t="shared" si="13"/>
        <v>-1.8764722322034411E-3</v>
      </c>
    </row>
    <row r="84" spans="1:7" x14ac:dyDescent="0.25">
      <c r="A84" s="1">
        <f t="shared" si="15"/>
        <v>43548</v>
      </c>
      <c r="B84">
        <v>30030</v>
      </c>
      <c r="C84">
        <v>100167</v>
      </c>
      <c r="D84" s="4">
        <f t="shared" si="14"/>
        <v>130197</v>
      </c>
      <c r="F84" s="5">
        <f t="shared" ref="F84:F147" si="16">(B84/B77)-1</f>
        <v>4.6641791044765846E-4</v>
      </c>
      <c r="G84" s="5">
        <f t="shared" ref="G84:G147" si="17">(C84/C77)-1</f>
        <v>-5.5875397862770182E-4</v>
      </c>
    </row>
    <row r="85" spans="1:7" x14ac:dyDescent="0.25">
      <c r="A85" s="1">
        <f t="shared" si="15"/>
        <v>43549</v>
      </c>
      <c r="B85">
        <v>30015</v>
      </c>
      <c r="C85">
        <v>100067</v>
      </c>
      <c r="D85" s="4">
        <f t="shared" si="14"/>
        <v>130082</v>
      </c>
      <c r="F85" s="5">
        <f t="shared" si="16"/>
        <v>-2.3930601256356709E-3</v>
      </c>
      <c r="G85" s="5">
        <f t="shared" si="17"/>
        <v>-7.5179766922885971E-3</v>
      </c>
    </row>
    <row r="86" spans="1:7" x14ac:dyDescent="0.25">
      <c r="A86" s="1">
        <f t="shared" si="15"/>
        <v>43550</v>
      </c>
      <c r="B86">
        <v>30045</v>
      </c>
      <c r="C86">
        <v>100857</v>
      </c>
      <c r="D86" s="4">
        <f t="shared" si="14"/>
        <v>130902</v>
      </c>
      <c r="F86" s="5">
        <f t="shared" si="16"/>
        <v>-1.8272425249169499E-3</v>
      </c>
      <c r="G86" s="5">
        <f t="shared" si="17"/>
        <v>5.99465368656249E-3</v>
      </c>
    </row>
    <row r="87" spans="1:7" x14ac:dyDescent="0.25">
      <c r="A87" s="1">
        <f t="shared" si="15"/>
        <v>43551</v>
      </c>
      <c r="B87">
        <v>30066</v>
      </c>
      <c r="C87">
        <v>100761</v>
      </c>
      <c r="D87" s="4">
        <f t="shared" si="14"/>
        <v>130827</v>
      </c>
      <c r="F87" s="5">
        <f t="shared" si="16"/>
        <v>1.5323117921386409E-3</v>
      </c>
      <c r="G87" s="5">
        <f t="shared" si="17"/>
        <v>4.6262600077768834E-3</v>
      </c>
    </row>
    <row r="88" spans="1:7" x14ac:dyDescent="0.25">
      <c r="A88" s="1">
        <f t="shared" si="15"/>
        <v>43552</v>
      </c>
      <c r="B88">
        <v>30065</v>
      </c>
      <c r="C88">
        <v>100474</v>
      </c>
      <c r="D88" s="4">
        <f t="shared" si="14"/>
        <v>130539</v>
      </c>
      <c r="F88" s="5">
        <f t="shared" si="16"/>
        <v>-7.3121281616650435E-4</v>
      </c>
      <c r="G88" s="5">
        <f t="shared" si="17"/>
        <v>3.405470723937265E-3</v>
      </c>
    </row>
    <row r="89" spans="1:7" x14ac:dyDescent="0.25">
      <c r="A89" s="1">
        <f t="shared" si="15"/>
        <v>43553</v>
      </c>
      <c r="B89">
        <v>30031</v>
      </c>
      <c r="C89">
        <v>100723</v>
      </c>
      <c r="D89" s="4">
        <f t="shared" si="14"/>
        <v>130754</v>
      </c>
      <c r="F89" s="5">
        <f t="shared" si="16"/>
        <v>9.6660222651823169E-4</v>
      </c>
      <c r="G89" s="5">
        <f t="shared" si="17"/>
        <v>2.5680585278455847E-3</v>
      </c>
    </row>
    <row r="90" spans="1:7" x14ac:dyDescent="0.25">
      <c r="A90" s="1">
        <f t="shared" si="15"/>
        <v>43554</v>
      </c>
      <c r="B90">
        <v>30063</v>
      </c>
      <c r="C90">
        <v>100448</v>
      </c>
      <c r="D90" s="4">
        <f t="shared" si="14"/>
        <v>130511</v>
      </c>
      <c r="F90" s="5">
        <f t="shared" si="16"/>
        <v>1.5992003997999937E-3</v>
      </c>
      <c r="G90" s="5">
        <f t="shared" si="17"/>
        <v>4.4800000000000395E-3</v>
      </c>
    </row>
    <row r="91" spans="1:7" x14ac:dyDescent="0.25">
      <c r="A91" s="1">
        <f t="shared" si="15"/>
        <v>43555</v>
      </c>
      <c r="B91">
        <v>30023</v>
      </c>
      <c r="C91">
        <v>100251</v>
      </c>
      <c r="D91" s="4">
        <f t="shared" si="14"/>
        <v>130274</v>
      </c>
      <c r="F91" s="5">
        <f t="shared" si="16"/>
        <v>-2.331002331001919E-4</v>
      </c>
      <c r="G91" s="5">
        <f t="shared" si="17"/>
        <v>8.3859953877030158E-4</v>
      </c>
    </row>
    <row r="92" spans="1:7" x14ac:dyDescent="0.25">
      <c r="A92" s="1">
        <f t="shared" si="15"/>
        <v>43556</v>
      </c>
      <c r="B92">
        <v>30058</v>
      </c>
      <c r="C92">
        <v>100017</v>
      </c>
      <c r="D92" s="4">
        <f t="shared" si="14"/>
        <v>130075</v>
      </c>
      <c r="F92" s="5">
        <f t="shared" si="16"/>
        <v>1.4326170248208925E-3</v>
      </c>
      <c r="G92" s="5">
        <f t="shared" si="17"/>
        <v>-4.9966522429967242E-4</v>
      </c>
    </row>
    <row r="93" spans="1:7" x14ac:dyDescent="0.25">
      <c r="A93" s="1">
        <f t="shared" si="15"/>
        <v>43557</v>
      </c>
      <c r="B93">
        <v>30046</v>
      </c>
      <c r="C93">
        <v>100715</v>
      </c>
      <c r="D93" s="4">
        <f t="shared" si="14"/>
        <v>130761</v>
      </c>
      <c r="F93" s="5">
        <f t="shared" si="16"/>
        <v>3.3283408221063127E-5</v>
      </c>
      <c r="G93" s="5">
        <f t="shared" si="17"/>
        <v>-1.4079340055722644E-3</v>
      </c>
    </row>
    <row r="94" spans="1:7" x14ac:dyDescent="0.25">
      <c r="A94" s="1">
        <f t="shared" si="15"/>
        <v>43558</v>
      </c>
      <c r="B94">
        <v>30036</v>
      </c>
      <c r="C94">
        <v>100632</v>
      </c>
      <c r="D94" s="4">
        <f t="shared" si="14"/>
        <v>130668</v>
      </c>
      <c r="F94" s="5">
        <f t="shared" si="16"/>
        <v>-9.9780482937539272E-4</v>
      </c>
      <c r="G94" s="5">
        <f t="shared" si="17"/>
        <v>-1.2802572423854519E-3</v>
      </c>
    </row>
    <row r="95" spans="1:7" x14ac:dyDescent="0.25">
      <c r="A95" s="1">
        <f t="shared" si="15"/>
        <v>43559</v>
      </c>
      <c r="B95">
        <v>30031</v>
      </c>
      <c r="C95">
        <v>100136</v>
      </c>
      <c r="D95" s="4">
        <f t="shared" si="14"/>
        <v>130167</v>
      </c>
      <c r="F95" s="5">
        <f t="shared" si="16"/>
        <v>-1.130883086645551E-3</v>
      </c>
      <c r="G95" s="5">
        <f t="shared" si="17"/>
        <v>-3.3640543822281987E-3</v>
      </c>
    </row>
    <row r="96" spans="1:7" x14ac:dyDescent="0.25">
      <c r="A96" s="1">
        <f t="shared" si="15"/>
        <v>43560</v>
      </c>
      <c r="B96">
        <v>30053</v>
      </c>
      <c r="C96">
        <v>100728</v>
      </c>
      <c r="D96" s="4">
        <f t="shared" si="14"/>
        <v>130781</v>
      </c>
      <c r="F96" s="5">
        <f t="shared" si="16"/>
        <v>7.3257633778434084E-4</v>
      </c>
      <c r="G96" s="5">
        <f t="shared" si="17"/>
        <v>4.9641094884034231E-5</v>
      </c>
    </row>
    <row r="97" spans="1:7" x14ac:dyDescent="0.25">
      <c r="A97" s="1">
        <f t="shared" si="15"/>
        <v>43561</v>
      </c>
      <c r="B97">
        <v>30006</v>
      </c>
      <c r="C97">
        <v>100668</v>
      </c>
      <c r="D97" s="4">
        <f t="shared" si="14"/>
        <v>130674</v>
      </c>
      <c r="F97" s="5">
        <f t="shared" si="16"/>
        <v>-1.8960183614409321E-3</v>
      </c>
      <c r="G97" s="5">
        <f t="shared" si="17"/>
        <v>2.1901879579484529E-3</v>
      </c>
    </row>
    <row r="98" spans="1:7" x14ac:dyDescent="0.25">
      <c r="A98" s="1">
        <f t="shared" si="15"/>
        <v>43562</v>
      </c>
      <c r="B98">
        <v>30095</v>
      </c>
      <c r="C98">
        <v>100263</v>
      </c>
      <c r="D98" s="4">
        <f t="shared" si="14"/>
        <v>130358</v>
      </c>
      <c r="F98" s="5">
        <f t="shared" si="16"/>
        <v>2.3981614095860415E-3</v>
      </c>
      <c r="G98" s="5">
        <f t="shared" si="17"/>
        <v>1.1969955411905708E-4</v>
      </c>
    </row>
    <row r="99" spans="1:7" x14ac:dyDescent="0.25">
      <c r="A99" s="1">
        <f t="shared" si="15"/>
        <v>43563</v>
      </c>
      <c r="B99">
        <v>30075</v>
      </c>
      <c r="C99">
        <v>100926</v>
      </c>
      <c r="D99" s="4">
        <f t="shared" si="14"/>
        <v>131001</v>
      </c>
      <c r="F99" s="5">
        <f t="shared" si="16"/>
        <v>5.6557322509820374E-4</v>
      </c>
      <c r="G99" s="5">
        <f t="shared" si="17"/>
        <v>9.0884549626564226E-3</v>
      </c>
    </row>
    <row r="100" spans="1:7" x14ac:dyDescent="0.25">
      <c r="A100" s="1">
        <f t="shared" si="15"/>
        <v>43564</v>
      </c>
      <c r="B100">
        <v>30071</v>
      </c>
      <c r="C100">
        <v>100740</v>
      </c>
      <c r="D100" s="4">
        <f t="shared" si="14"/>
        <v>130811</v>
      </c>
      <c r="F100" s="5">
        <f t="shared" si="16"/>
        <v>8.32057511815254E-4</v>
      </c>
      <c r="G100" s="5">
        <f t="shared" si="17"/>
        <v>2.482251898923149E-4</v>
      </c>
    </row>
    <row r="101" spans="1:7" x14ac:dyDescent="0.25">
      <c r="A101" s="1">
        <f t="shared" si="15"/>
        <v>43565</v>
      </c>
      <c r="B101">
        <v>30087</v>
      </c>
      <c r="C101">
        <v>100358</v>
      </c>
      <c r="D101" s="4">
        <f t="shared" si="14"/>
        <v>130445</v>
      </c>
      <c r="F101" s="5">
        <f t="shared" si="16"/>
        <v>1.6979624450659259E-3</v>
      </c>
      <c r="G101" s="5">
        <f t="shared" si="17"/>
        <v>-2.7227919548453716E-3</v>
      </c>
    </row>
    <row r="102" spans="1:7" x14ac:dyDescent="0.25">
      <c r="A102" s="1">
        <f t="shared" si="15"/>
        <v>43566</v>
      </c>
      <c r="B102">
        <v>30039</v>
      </c>
      <c r="C102">
        <v>100648</v>
      </c>
      <c r="D102" s="4">
        <f t="shared" si="14"/>
        <v>130687</v>
      </c>
      <c r="F102" s="5">
        <f t="shared" si="16"/>
        <v>2.6639139555784119E-4</v>
      </c>
      <c r="G102" s="5">
        <f t="shared" si="17"/>
        <v>5.1130462570903035E-3</v>
      </c>
    </row>
    <row r="103" spans="1:7" x14ac:dyDescent="0.25">
      <c r="A103" s="1">
        <f t="shared" si="15"/>
        <v>43567</v>
      </c>
      <c r="B103">
        <v>30013</v>
      </c>
      <c r="C103">
        <v>100067</v>
      </c>
      <c r="D103" s="4">
        <f t="shared" si="14"/>
        <v>130080</v>
      </c>
      <c r="F103" s="5">
        <f t="shared" si="16"/>
        <v>-1.330981931920272E-3</v>
      </c>
      <c r="G103" s="5">
        <f t="shared" si="17"/>
        <v>-6.5622269875307282E-3</v>
      </c>
    </row>
    <row r="104" spans="1:7" x14ac:dyDescent="0.25">
      <c r="A104" s="1">
        <f t="shared" si="15"/>
        <v>43568</v>
      </c>
      <c r="B104">
        <v>30019</v>
      </c>
      <c r="C104">
        <v>100442</v>
      </c>
      <c r="D104" s="4">
        <f t="shared" si="14"/>
        <v>130461</v>
      </c>
      <c r="F104" s="5">
        <f t="shared" si="16"/>
        <v>4.3324668399646882E-4</v>
      </c>
      <c r="G104" s="5">
        <f t="shared" si="17"/>
        <v>-2.2450033774387146E-3</v>
      </c>
    </row>
    <row r="105" spans="1:7" x14ac:dyDescent="0.25">
      <c r="A105" s="1">
        <f t="shared" si="15"/>
        <v>43569</v>
      </c>
      <c r="B105">
        <v>30087</v>
      </c>
      <c r="C105">
        <v>100491</v>
      </c>
      <c r="D105" s="4">
        <f t="shared" si="14"/>
        <v>130578</v>
      </c>
      <c r="F105" s="5">
        <f t="shared" si="16"/>
        <v>-2.6582488785509284E-4</v>
      </c>
      <c r="G105" s="5">
        <f t="shared" si="17"/>
        <v>2.2740193291643784E-3</v>
      </c>
    </row>
    <row r="106" spans="1:7" x14ac:dyDescent="0.25">
      <c r="A106" s="1">
        <f t="shared" si="15"/>
        <v>43570</v>
      </c>
      <c r="B106">
        <v>30067</v>
      </c>
      <c r="C106">
        <v>100970</v>
      </c>
      <c r="D106" s="4">
        <f t="shared" si="14"/>
        <v>131037</v>
      </c>
      <c r="F106" s="5">
        <f t="shared" si="16"/>
        <v>-2.6600166251034008E-4</v>
      </c>
      <c r="G106" s="5">
        <f t="shared" si="17"/>
        <v>4.3596298277948087E-4</v>
      </c>
    </row>
    <row r="107" spans="1:7" x14ac:dyDescent="0.25">
      <c r="A107" s="1">
        <f t="shared" si="15"/>
        <v>43571</v>
      </c>
      <c r="B107">
        <v>30081</v>
      </c>
      <c r="C107">
        <v>100002</v>
      </c>
      <c r="D107" s="4">
        <f t="shared" si="14"/>
        <v>130083</v>
      </c>
      <c r="F107" s="5">
        <f t="shared" si="16"/>
        <v>3.3254630707335586E-4</v>
      </c>
      <c r="G107" s="5">
        <f t="shared" si="17"/>
        <v>-7.3257891602144243E-3</v>
      </c>
    </row>
    <row r="108" spans="1:7" x14ac:dyDescent="0.25">
      <c r="A108" s="1">
        <f t="shared" si="15"/>
        <v>43572</v>
      </c>
      <c r="B108">
        <v>30021</v>
      </c>
      <c r="C108">
        <v>100268</v>
      </c>
      <c r="D108" s="4">
        <f t="shared" si="14"/>
        <v>130289</v>
      </c>
      <c r="F108" s="5">
        <f t="shared" si="16"/>
        <v>-2.193638448499402E-3</v>
      </c>
      <c r="G108" s="5">
        <f t="shared" si="17"/>
        <v>-8.9678949361282623E-4</v>
      </c>
    </row>
    <row r="109" spans="1:7" x14ac:dyDescent="0.25">
      <c r="A109" s="1">
        <f t="shared" si="15"/>
        <v>43573</v>
      </c>
      <c r="B109">
        <v>30049</v>
      </c>
      <c r="C109">
        <v>100681</v>
      </c>
      <c r="D109" s="4">
        <f t="shared" si="14"/>
        <v>130730</v>
      </c>
      <c r="F109" s="5">
        <f t="shared" si="16"/>
        <v>3.3290056260204537E-4</v>
      </c>
      <c r="G109" s="5">
        <f t="shared" si="17"/>
        <v>3.2787536761791358E-4</v>
      </c>
    </row>
    <row r="110" spans="1:7" x14ac:dyDescent="0.25">
      <c r="A110" s="1">
        <f t="shared" si="15"/>
        <v>43574</v>
      </c>
      <c r="B110">
        <v>30042</v>
      </c>
      <c r="C110">
        <v>100030</v>
      </c>
      <c r="D110" s="4">
        <f t="shared" si="14"/>
        <v>130072</v>
      </c>
      <c r="F110" s="5">
        <f t="shared" si="16"/>
        <v>9.6624795921762541E-4</v>
      </c>
      <c r="G110" s="5">
        <f t="shared" si="17"/>
        <v>-3.6975226598179312E-4</v>
      </c>
    </row>
    <row r="111" spans="1:7" x14ac:dyDescent="0.25">
      <c r="A111" s="1">
        <f t="shared" si="15"/>
        <v>43575</v>
      </c>
      <c r="B111">
        <v>30091</v>
      </c>
      <c r="C111">
        <v>100078</v>
      </c>
      <c r="D111" s="4">
        <f t="shared" si="14"/>
        <v>130169</v>
      </c>
      <c r="F111" s="5">
        <f t="shared" si="16"/>
        <v>2.3984809620574143E-3</v>
      </c>
      <c r="G111" s="5">
        <f t="shared" si="17"/>
        <v>-3.6239819995619316E-3</v>
      </c>
    </row>
    <row r="112" spans="1:7" x14ac:dyDescent="0.25">
      <c r="A112" s="1">
        <f t="shared" si="15"/>
        <v>43576</v>
      </c>
      <c r="B112">
        <v>30100</v>
      </c>
      <c r="C112">
        <v>100752</v>
      </c>
      <c r="D112" s="4">
        <f t="shared" si="14"/>
        <v>130852</v>
      </c>
      <c r="F112" s="5">
        <f t="shared" si="16"/>
        <v>4.3208030046204549E-4</v>
      </c>
      <c r="G112" s="5">
        <f t="shared" si="17"/>
        <v>2.5972475147029161E-3</v>
      </c>
    </row>
    <row r="113" spans="1:7" x14ac:dyDescent="0.25">
      <c r="A113" s="1">
        <f t="shared" si="15"/>
        <v>43577</v>
      </c>
      <c r="B113">
        <v>30066</v>
      </c>
      <c r="C113">
        <v>100285</v>
      </c>
      <c r="D113" s="4">
        <f t="shared" si="14"/>
        <v>130351</v>
      </c>
      <c r="F113" s="5">
        <f t="shared" si="16"/>
        <v>-3.3259054777690089E-5</v>
      </c>
      <c r="G113" s="5">
        <f t="shared" si="17"/>
        <v>-6.7841933247498876E-3</v>
      </c>
    </row>
    <row r="114" spans="1:7" x14ac:dyDescent="0.25">
      <c r="A114" s="1">
        <f t="shared" si="15"/>
        <v>43578</v>
      </c>
      <c r="B114">
        <v>30081</v>
      </c>
      <c r="C114">
        <v>100142</v>
      </c>
      <c r="D114" s="4">
        <f t="shared" si="14"/>
        <v>130223</v>
      </c>
      <c r="F114" s="5">
        <f t="shared" si="16"/>
        <v>0</v>
      </c>
      <c r="G114" s="5">
        <f t="shared" si="17"/>
        <v>1.3999720005599681E-3</v>
      </c>
    </row>
    <row r="115" spans="1:7" x14ac:dyDescent="0.25">
      <c r="A115" s="1">
        <f t="shared" si="15"/>
        <v>43579</v>
      </c>
      <c r="B115">
        <v>30083</v>
      </c>
      <c r="C115">
        <v>100885</v>
      </c>
      <c r="D115" s="4">
        <f t="shared" si="14"/>
        <v>130968</v>
      </c>
      <c r="F115" s="5">
        <f t="shared" si="16"/>
        <v>2.0652210119582737E-3</v>
      </c>
      <c r="G115" s="5">
        <f t="shared" si="17"/>
        <v>6.1535085969601777E-3</v>
      </c>
    </row>
    <row r="116" spans="1:7" x14ac:dyDescent="0.25">
      <c r="A116" s="1">
        <f t="shared" si="15"/>
        <v>43580</v>
      </c>
      <c r="B116">
        <v>30043</v>
      </c>
      <c r="C116">
        <v>100902</v>
      </c>
      <c r="D116" s="4">
        <f t="shared" si="14"/>
        <v>130945</v>
      </c>
      <c r="F116" s="5">
        <f t="shared" si="16"/>
        <v>-1.9967386601882353E-4</v>
      </c>
      <c r="G116" s="5">
        <f t="shared" si="17"/>
        <v>2.1950516979369894E-3</v>
      </c>
    </row>
    <row r="117" spans="1:7" x14ac:dyDescent="0.25">
      <c r="A117" s="1">
        <f t="shared" si="15"/>
        <v>43581</v>
      </c>
      <c r="B117">
        <v>30028</v>
      </c>
      <c r="C117">
        <v>100480</v>
      </c>
      <c r="D117" s="4">
        <f t="shared" si="14"/>
        <v>130508</v>
      </c>
      <c r="F117" s="5">
        <f t="shared" si="16"/>
        <v>-4.6601424672121361E-4</v>
      </c>
      <c r="G117" s="5">
        <f t="shared" si="17"/>
        <v>4.4986504048785125E-3</v>
      </c>
    </row>
    <row r="118" spans="1:7" x14ac:dyDescent="0.25">
      <c r="A118" s="1">
        <f t="shared" si="15"/>
        <v>43582</v>
      </c>
      <c r="B118">
        <v>30083</v>
      </c>
      <c r="C118">
        <v>100207</v>
      </c>
      <c r="D118" s="4">
        <f t="shared" si="14"/>
        <v>130290</v>
      </c>
      <c r="F118" s="5">
        <f t="shared" si="16"/>
        <v>-2.6586022398722431E-4</v>
      </c>
      <c r="G118" s="5">
        <f t="shared" si="17"/>
        <v>1.2889945842242678E-3</v>
      </c>
    </row>
    <row r="119" spans="1:7" x14ac:dyDescent="0.25">
      <c r="A119" s="1">
        <f t="shared" si="15"/>
        <v>43583</v>
      </c>
      <c r="B119">
        <v>30024</v>
      </c>
      <c r="C119">
        <v>100329</v>
      </c>
      <c r="D119" s="4">
        <f t="shared" si="14"/>
        <v>130353</v>
      </c>
      <c r="F119" s="5">
        <f t="shared" si="16"/>
        <v>-2.5249169435216379E-3</v>
      </c>
      <c r="G119" s="5">
        <f t="shared" si="17"/>
        <v>-4.1984278227727989E-3</v>
      </c>
    </row>
    <row r="120" spans="1:7" x14ac:dyDescent="0.25">
      <c r="A120" s="1">
        <f t="shared" si="15"/>
        <v>43584</v>
      </c>
      <c r="B120">
        <v>30060</v>
      </c>
      <c r="C120">
        <v>100279</v>
      </c>
      <c r="D120" s="4">
        <f t="shared" si="14"/>
        <v>130339</v>
      </c>
      <c r="F120" s="5">
        <f t="shared" si="16"/>
        <v>-1.9956096587503414E-4</v>
      </c>
      <c r="G120" s="5">
        <f t="shared" si="17"/>
        <v>-5.9829485964946194E-5</v>
      </c>
    </row>
    <row r="121" spans="1:7" x14ac:dyDescent="0.25">
      <c r="A121" s="1">
        <f t="shared" si="15"/>
        <v>43585</v>
      </c>
      <c r="B121">
        <v>30018</v>
      </c>
      <c r="C121">
        <v>100054</v>
      </c>
      <c r="D121" s="4">
        <f t="shared" si="14"/>
        <v>130072</v>
      </c>
      <c r="F121" s="5">
        <f t="shared" si="16"/>
        <v>-2.0943452677769647E-3</v>
      </c>
      <c r="G121" s="5">
        <f t="shared" si="17"/>
        <v>-8.787521719159086E-4</v>
      </c>
    </row>
    <row r="122" spans="1:7" x14ac:dyDescent="0.25">
      <c r="A122" s="1">
        <f t="shared" si="15"/>
        <v>43586</v>
      </c>
      <c r="B122">
        <v>30039</v>
      </c>
      <c r="C122">
        <v>100128</v>
      </c>
      <c r="D122" s="4">
        <f t="shared" si="14"/>
        <v>130167</v>
      </c>
      <c r="F122" s="5">
        <f t="shared" si="16"/>
        <v>-1.4626200844330972E-3</v>
      </c>
      <c r="G122" s="5">
        <f t="shared" si="17"/>
        <v>-7.50359320017846E-3</v>
      </c>
    </row>
    <row r="123" spans="1:7" x14ac:dyDescent="0.25">
      <c r="A123" s="1">
        <f t="shared" si="15"/>
        <v>43587</v>
      </c>
      <c r="B123">
        <v>30001</v>
      </c>
      <c r="C123">
        <v>100084</v>
      </c>
      <c r="D123" s="4">
        <f t="shared" si="14"/>
        <v>130085</v>
      </c>
      <c r="F123" s="5">
        <f t="shared" si="16"/>
        <v>-1.3979962054389006E-3</v>
      </c>
      <c r="G123" s="5">
        <f t="shared" si="17"/>
        <v>-8.1068759786723232E-3</v>
      </c>
    </row>
    <row r="124" spans="1:7" x14ac:dyDescent="0.25">
      <c r="A124" s="1">
        <f t="shared" si="15"/>
        <v>43588</v>
      </c>
      <c r="B124">
        <v>30097</v>
      </c>
      <c r="C124">
        <v>100299</v>
      </c>
      <c r="D124" s="4">
        <f t="shared" si="14"/>
        <v>130396</v>
      </c>
      <c r="F124" s="5">
        <f t="shared" si="16"/>
        <v>2.2978553350205821E-3</v>
      </c>
      <c r="G124" s="5">
        <f t="shared" si="17"/>
        <v>-1.8013535031846661E-3</v>
      </c>
    </row>
    <row r="125" spans="1:7" x14ac:dyDescent="0.25">
      <c r="A125" s="1">
        <f t="shared" si="15"/>
        <v>43589</v>
      </c>
      <c r="B125">
        <v>30097</v>
      </c>
      <c r="C125">
        <v>100050</v>
      </c>
      <c r="D125" s="4">
        <f t="shared" si="14"/>
        <v>130147</v>
      </c>
      <c r="F125" s="5">
        <f t="shared" si="16"/>
        <v>4.6537911777422281E-4</v>
      </c>
      <c r="G125" s="5">
        <f t="shared" si="17"/>
        <v>-1.5667568133962417E-3</v>
      </c>
    </row>
    <row r="126" spans="1:7" x14ac:dyDescent="0.25">
      <c r="A126" s="1">
        <f t="shared" si="15"/>
        <v>43590</v>
      </c>
      <c r="B126">
        <v>30085</v>
      </c>
      <c r="C126">
        <v>100616</v>
      </c>
      <c r="D126" s="4">
        <f t="shared" si="14"/>
        <v>130701</v>
      </c>
      <c r="F126" s="5">
        <f t="shared" si="16"/>
        <v>2.0317079669598392E-3</v>
      </c>
      <c r="G126" s="5">
        <f t="shared" si="17"/>
        <v>2.8605886632977473E-3</v>
      </c>
    </row>
    <row r="127" spans="1:7" x14ac:dyDescent="0.25">
      <c r="A127" s="1">
        <f t="shared" si="15"/>
        <v>43591</v>
      </c>
      <c r="B127">
        <v>30069</v>
      </c>
      <c r="C127">
        <v>100481</v>
      </c>
      <c r="D127" s="4">
        <f t="shared" si="14"/>
        <v>130550</v>
      </c>
      <c r="F127" s="5">
        <f t="shared" si="16"/>
        <v>2.9940119760474282E-4</v>
      </c>
      <c r="G127" s="5">
        <f t="shared" si="17"/>
        <v>2.0143798801344204E-3</v>
      </c>
    </row>
    <row r="128" spans="1:7" x14ac:dyDescent="0.25">
      <c r="A128" s="1">
        <f t="shared" si="15"/>
        <v>43592</v>
      </c>
      <c r="B128">
        <v>30033</v>
      </c>
      <c r="C128">
        <v>100087</v>
      </c>
      <c r="D128" s="4">
        <f t="shared" si="14"/>
        <v>130120</v>
      </c>
      <c r="F128" s="5">
        <f t="shared" si="16"/>
        <v>4.9970017989209303E-4</v>
      </c>
      <c r="G128" s="5">
        <f t="shared" si="17"/>
        <v>3.2982189617603019E-4</v>
      </c>
    </row>
    <row r="129" spans="1:7" x14ac:dyDescent="0.25">
      <c r="A129" s="1">
        <f t="shared" si="15"/>
        <v>43593</v>
      </c>
      <c r="B129">
        <v>30062</v>
      </c>
      <c r="C129">
        <v>100152</v>
      </c>
      <c r="D129" s="4">
        <f t="shared" si="14"/>
        <v>130214</v>
      </c>
      <c r="F129" s="5">
        <f t="shared" si="16"/>
        <v>7.6567129398452671E-4</v>
      </c>
      <c r="G129" s="5">
        <f t="shared" si="17"/>
        <v>2.3969319271333056E-4</v>
      </c>
    </row>
    <row r="130" spans="1:7" x14ac:dyDescent="0.25">
      <c r="A130" s="1">
        <f t="shared" si="15"/>
        <v>43594</v>
      </c>
      <c r="B130">
        <v>30019</v>
      </c>
      <c r="C130">
        <v>100628</v>
      </c>
      <c r="D130" s="4">
        <f t="shared" si="14"/>
        <v>130647</v>
      </c>
      <c r="F130" s="5">
        <f t="shared" si="16"/>
        <v>5.9998000066663337E-4</v>
      </c>
      <c r="G130" s="5">
        <f t="shared" si="17"/>
        <v>5.4354342352422869E-3</v>
      </c>
    </row>
    <row r="131" spans="1:7" x14ac:dyDescent="0.25">
      <c r="A131" s="1">
        <f t="shared" si="15"/>
        <v>43595</v>
      </c>
      <c r="B131">
        <v>30037</v>
      </c>
      <c r="C131">
        <v>100901</v>
      </c>
      <c r="D131" s="4">
        <f t="shared" ref="D131:D194" si="18">SUM(B131:C131)</f>
        <v>130938</v>
      </c>
      <c r="F131" s="5">
        <f t="shared" si="16"/>
        <v>-1.9935541748347108E-3</v>
      </c>
      <c r="G131" s="5">
        <f t="shared" si="17"/>
        <v>6.0020538589617978E-3</v>
      </c>
    </row>
    <row r="132" spans="1:7" x14ac:dyDescent="0.25">
      <c r="A132" s="1">
        <f t="shared" ref="A132:A195" si="19">A131+1</f>
        <v>43596</v>
      </c>
      <c r="B132">
        <v>30091</v>
      </c>
      <c r="C132">
        <v>100699</v>
      </c>
      <c r="D132" s="4">
        <f t="shared" si="18"/>
        <v>130790</v>
      </c>
      <c r="F132" s="5">
        <f t="shared" si="16"/>
        <v>-1.9935541748350438E-4</v>
      </c>
      <c r="G132" s="5">
        <f t="shared" si="17"/>
        <v>6.4867566216890715E-3</v>
      </c>
    </row>
    <row r="133" spans="1:7" x14ac:dyDescent="0.25">
      <c r="A133" s="1">
        <f t="shared" si="19"/>
        <v>43597</v>
      </c>
      <c r="B133">
        <v>30031</v>
      </c>
      <c r="C133">
        <v>100223</v>
      </c>
      <c r="D133" s="4">
        <f t="shared" si="18"/>
        <v>130254</v>
      </c>
      <c r="F133" s="5">
        <f t="shared" si="16"/>
        <v>-1.7949144091740088E-3</v>
      </c>
      <c r="G133" s="5">
        <f t="shared" si="17"/>
        <v>-3.9059394132145986E-3</v>
      </c>
    </row>
    <row r="134" spans="1:7" x14ac:dyDescent="0.25">
      <c r="A134" s="1">
        <f t="shared" si="19"/>
        <v>43598</v>
      </c>
      <c r="B134">
        <v>30023</v>
      </c>
      <c r="C134">
        <v>100912</v>
      </c>
      <c r="D134" s="4">
        <f t="shared" si="18"/>
        <v>130935</v>
      </c>
      <c r="F134" s="5">
        <f t="shared" si="16"/>
        <v>-1.5298147593867384E-3</v>
      </c>
      <c r="G134" s="5">
        <f t="shared" si="17"/>
        <v>4.2893681392501826E-3</v>
      </c>
    </row>
    <row r="135" spans="1:7" x14ac:dyDescent="0.25">
      <c r="A135" s="1">
        <f t="shared" si="19"/>
        <v>43599</v>
      </c>
      <c r="B135">
        <v>30067</v>
      </c>
      <c r="C135">
        <v>100270</v>
      </c>
      <c r="D135" s="4">
        <f t="shared" si="18"/>
        <v>130337</v>
      </c>
      <c r="F135" s="5">
        <f t="shared" si="16"/>
        <v>1.1320880364931174E-3</v>
      </c>
      <c r="G135" s="5">
        <f t="shared" si="17"/>
        <v>1.828409283922916E-3</v>
      </c>
    </row>
    <row r="136" spans="1:7" x14ac:dyDescent="0.25">
      <c r="A136" s="1">
        <f t="shared" si="19"/>
        <v>43600</v>
      </c>
      <c r="B136">
        <v>30041</v>
      </c>
      <c r="C136">
        <v>100488</v>
      </c>
      <c r="D136" s="4">
        <f t="shared" si="18"/>
        <v>130529</v>
      </c>
      <c r="F136" s="5">
        <f t="shared" si="16"/>
        <v>-6.9855631694493159E-4</v>
      </c>
      <c r="G136" s="5">
        <f t="shared" si="17"/>
        <v>3.3549005511621655E-3</v>
      </c>
    </row>
    <row r="137" spans="1:7" x14ac:dyDescent="0.25">
      <c r="A137" s="1">
        <f t="shared" si="19"/>
        <v>43601</v>
      </c>
      <c r="B137">
        <v>30000</v>
      </c>
      <c r="C137">
        <v>100989</v>
      </c>
      <c r="D137" s="4">
        <f t="shared" si="18"/>
        <v>130989</v>
      </c>
      <c r="F137" s="5">
        <f t="shared" si="16"/>
        <v>-6.3293247609852443E-4</v>
      </c>
      <c r="G137" s="5">
        <f t="shared" si="17"/>
        <v>3.5874706841039217E-3</v>
      </c>
    </row>
    <row r="138" spans="1:7" x14ac:dyDescent="0.25">
      <c r="A138" s="1">
        <f t="shared" si="19"/>
        <v>43602</v>
      </c>
      <c r="B138">
        <v>30043</v>
      </c>
      <c r="C138">
        <v>100855</v>
      </c>
      <c r="D138" s="4">
        <f t="shared" si="18"/>
        <v>130898</v>
      </c>
      <c r="F138" s="5">
        <f t="shared" si="16"/>
        <v>1.9975363718072181E-4</v>
      </c>
      <c r="G138" s="5">
        <f t="shared" si="17"/>
        <v>-4.5589240939136744E-4</v>
      </c>
    </row>
    <row r="139" spans="1:7" x14ac:dyDescent="0.25">
      <c r="A139" s="1">
        <f t="shared" si="19"/>
        <v>43603</v>
      </c>
      <c r="B139">
        <v>30077</v>
      </c>
      <c r="C139">
        <v>100024</v>
      </c>
      <c r="D139" s="4">
        <f t="shared" si="18"/>
        <v>130101</v>
      </c>
      <c r="F139" s="5">
        <f t="shared" si="16"/>
        <v>-4.6525539197761479E-4</v>
      </c>
      <c r="G139" s="5">
        <f t="shared" si="17"/>
        <v>-6.703145016335843E-3</v>
      </c>
    </row>
    <row r="140" spans="1:7" x14ac:dyDescent="0.25">
      <c r="A140" s="1">
        <f t="shared" si="19"/>
        <v>43604</v>
      </c>
      <c r="B140">
        <v>30077</v>
      </c>
      <c r="C140">
        <v>100430</v>
      </c>
      <c r="D140" s="4">
        <f t="shared" si="18"/>
        <v>130507</v>
      </c>
      <c r="F140" s="5">
        <f t="shared" si="16"/>
        <v>1.5317505244580865E-3</v>
      </c>
      <c r="G140" s="5">
        <f t="shared" si="17"/>
        <v>2.0653941709987134E-3</v>
      </c>
    </row>
    <row r="141" spans="1:7" x14ac:dyDescent="0.25">
      <c r="A141" s="1">
        <f t="shared" si="19"/>
        <v>43605</v>
      </c>
      <c r="B141">
        <v>30053</v>
      </c>
      <c r="C141">
        <v>100256</v>
      </c>
      <c r="D141" s="4">
        <f t="shared" si="18"/>
        <v>130309</v>
      </c>
      <c r="F141" s="5">
        <f t="shared" si="16"/>
        <v>9.9923392066081362E-4</v>
      </c>
      <c r="G141" s="5">
        <f t="shared" si="17"/>
        <v>-6.5007134929443433E-3</v>
      </c>
    </row>
    <row r="142" spans="1:7" x14ac:dyDescent="0.25">
      <c r="A142" s="1">
        <f t="shared" si="19"/>
        <v>43606</v>
      </c>
      <c r="B142">
        <v>30071</v>
      </c>
      <c r="C142">
        <v>100117</v>
      </c>
      <c r="D142" s="4">
        <f t="shared" si="18"/>
        <v>130188</v>
      </c>
      <c r="F142" s="5">
        <f t="shared" si="16"/>
        <v>1.3303621911076036E-4</v>
      </c>
      <c r="G142" s="5">
        <f t="shared" si="17"/>
        <v>-1.5258801236660569E-3</v>
      </c>
    </row>
    <row r="143" spans="1:7" x14ac:dyDescent="0.25">
      <c r="A143" s="1">
        <f t="shared" si="19"/>
        <v>43607</v>
      </c>
      <c r="B143">
        <v>30086</v>
      </c>
      <c r="C143">
        <v>100172</v>
      </c>
      <c r="D143" s="4">
        <f t="shared" si="18"/>
        <v>130258</v>
      </c>
      <c r="F143" s="5">
        <f t="shared" si="16"/>
        <v>1.4979527978429275E-3</v>
      </c>
      <c r="G143" s="5">
        <f t="shared" si="17"/>
        <v>-3.1446540880503138E-3</v>
      </c>
    </row>
    <row r="144" spans="1:7" x14ac:dyDescent="0.25">
      <c r="A144" s="1">
        <f t="shared" si="19"/>
        <v>43608</v>
      </c>
      <c r="B144">
        <v>30064</v>
      </c>
      <c r="C144">
        <v>100449</v>
      </c>
      <c r="D144" s="4">
        <f t="shared" si="18"/>
        <v>130513</v>
      </c>
      <c r="F144" s="5">
        <f t="shared" si="16"/>
        <v>2.1333333333333204E-3</v>
      </c>
      <c r="G144" s="5">
        <f t="shared" si="17"/>
        <v>-5.3471170127439294E-3</v>
      </c>
    </row>
    <row r="145" spans="1:7" x14ac:dyDescent="0.25">
      <c r="A145" s="1">
        <f t="shared" si="19"/>
        <v>43609</v>
      </c>
      <c r="B145">
        <v>30027</v>
      </c>
      <c r="C145">
        <v>100633</v>
      </c>
      <c r="D145" s="4">
        <f t="shared" si="18"/>
        <v>130660</v>
      </c>
      <c r="F145" s="5">
        <f t="shared" si="16"/>
        <v>-5.3256998302431136E-4</v>
      </c>
      <c r="G145" s="5">
        <f t="shared" si="17"/>
        <v>-2.2011799117545028E-3</v>
      </c>
    </row>
    <row r="146" spans="1:7" x14ac:dyDescent="0.25">
      <c r="A146" s="1">
        <f t="shared" si="19"/>
        <v>43610</v>
      </c>
      <c r="B146">
        <v>30012</v>
      </c>
      <c r="C146">
        <v>100446</v>
      </c>
      <c r="D146" s="4">
        <f t="shared" si="18"/>
        <v>130458</v>
      </c>
      <c r="F146" s="5">
        <f t="shared" si="16"/>
        <v>-2.1611197925325287E-3</v>
      </c>
      <c r="G146" s="5">
        <f t="shared" si="17"/>
        <v>4.2189874430136332E-3</v>
      </c>
    </row>
    <row r="147" spans="1:7" x14ac:dyDescent="0.25">
      <c r="A147" s="1">
        <f t="shared" si="19"/>
        <v>43611</v>
      </c>
      <c r="B147">
        <v>30049</v>
      </c>
      <c r="C147">
        <v>100097</v>
      </c>
      <c r="D147" s="4">
        <f t="shared" si="18"/>
        <v>130146</v>
      </c>
      <c r="F147" s="5">
        <f t="shared" si="16"/>
        <v>-9.3094391062942261E-4</v>
      </c>
      <c r="G147" s="5">
        <f t="shared" si="17"/>
        <v>-3.3157423080752979E-3</v>
      </c>
    </row>
    <row r="148" spans="1:7" x14ac:dyDescent="0.25">
      <c r="A148" s="1">
        <f t="shared" si="19"/>
        <v>43612</v>
      </c>
      <c r="B148">
        <v>30028</v>
      </c>
      <c r="C148">
        <v>100565</v>
      </c>
      <c r="D148" s="4">
        <f t="shared" si="18"/>
        <v>130593</v>
      </c>
      <c r="F148" s="5">
        <f t="shared" ref="F148:F211" si="20">(B148/B141)-1</f>
        <v>-8.3186370745014226E-4</v>
      </c>
      <c r="G148" s="5">
        <f t="shared" ref="G148:G211" si="21">(C148/C141)-1</f>
        <v>3.0821097989148782E-3</v>
      </c>
    </row>
    <row r="149" spans="1:7" x14ac:dyDescent="0.25">
      <c r="A149" s="1">
        <f t="shared" si="19"/>
        <v>43613</v>
      </c>
      <c r="B149">
        <v>30080</v>
      </c>
      <c r="C149">
        <v>100799</v>
      </c>
      <c r="D149" s="4">
        <f t="shared" si="18"/>
        <v>130879</v>
      </c>
      <c r="F149" s="5">
        <f t="shared" si="20"/>
        <v>2.9929167636599807E-4</v>
      </c>
      <c r="G149" s="5">
        <f t="shared" si="21"/>
        <v>6.8120299249878613E-3</v>
      </c>
    </row>
    <row r="150" spans="1:7" x14ac:dyDescent="0.25">
      <c r="A150" s="1">
        <f t="shared" si="19"/>
        <v>43614</v>
      </c>
      <c r="B150">
        <v>30073</v>
      </c>
      <c r="C150">
        <v>100634</v>
      </c>
      <c r="D150" s="4">
        <f t="shared" si="18"/>
        <v>130707</v>
      </c>
      <c r="F150" s="5">
        <f t="shared" si="20"/>
        <v>-4.3209466196902913E-4</v>
      </c>
      <c r="G150" s="5">
        <f t="shared" si="21"/>
        <v>4.6120672443397126E-3</v>
      </c>
    </row>
    <row r="151" spans="1:7" x14ac:dyDescent="0.25">
      <c r="A151" s="1">
        <f t="shared" si="19"/>
        <v>43615</v>
      </c>
      <c r="B151">
        <v>30000</v>
      </c>
      <c r="C151">
        <v>100148</v>
      </c>
      <c r="D151" s="4">
        <f t="shared" si="18"/>
        <v>130148</v>
      </c>
      <c r="F151" s="5">
        <f t="shared" si="20"/>
        <v>-2.1287919105907882E-3</v>
      </c>
      <c r="G151" s="5">
        <f t="shared" si="21"/>
        <v>-2.9965455106572003E-3</v>
      </c>
    </row>
    <row r="152" spans="1:7" x14ac:dyDescent="0.25">
      <c r="A152" s="1">
        <f t="shared" si="19"/>
        <v>43616</v>
      </c>
      <c r="B152">
        <v>30073</v>
      </c>
      <c r="C152">
        <v>100229</v>
      </c>
      <c r="D152" s="4">
        <f t="shared" si="18"/>
        <v>130302</v>
      </c>
      <c r="F152" s="5">
        <f t="shared" si="20"/>
        <v>1.5319545742165097E-3</v>
      </c>
      <c r="G152" s="5">
        <f t="shared" si="21"/>
        <v>-4.0145876601115349E-3</v>
      </c>
    </row>
    <row r="153" spans="1:7" x14ac:dyDescent="0.25">
      <c r="A153" s="1">
        <f t="shared" si="19"/>
        <v>43617</v>
      </c>
      <c r="B153">
        <v>30001</v>
      </c>
      <c r="C153">
        <v>100393</v>
      </c>
      <c r="D153" s="4">
        <f t="shared" si="18"/>
        <v>130394</v>
      </c>
      <c r="F153" s="5">
        <f t="shared" si="20"/>
        <v>-3.6652005864323822E-4</v>
      </c>
      <c r="G153" s="5">
        <f t="shared" si="21"/>
        <v>-5.2764669573701628E-4</v>
      </c>
    </row>
    <row r="154" spans="1:7" x14ac:dyDescent="0.25">
      <c r="A154" s="1">
        <f t="shared" si="19"/>
        <v>43618</v>
      </c>
      <c r="B154">
        <v>30016</v>
      </c>
      <c r="C154">
        <v>100212</v>
      </c>
      <c r="D154" s="4">
        <f t="shared" si="18"/>
        <v>130228</v>
      </c>
      <c r="F154" s="5">
        <f t="shared" si="20"/>
        <v>-1.0982062631036404E-3</v>
      </c>
      <c r="G154" s="5">
        <f t="shared" si="21"/>
        <v>1.1488855809864695E-3</v>
      </c>
    </row>
    <row r="155" spans="1:7" x14ac:dyDescent="0.25">
      <c r="A155" s="1">
        <f t="shared" si="19"/>
        <v>43619</v>
      </c>
      <c r="B155">
        <v>30044</v>
      </c>
      <c r="C155">
        <v>100266</v>
      </c>
      <c r="D155" s="4">
        <f t="shared" si="18"/>
        <v>130310</v>
      </c>
      <c r="F155" s="5">
        <f t="shared" si="20"/>
        <v>5.328360197149884E-4</v>
      </c>
      <c r="G155" s="5">
        <f t="shared" si="21"/>
        <v>-2.973201412022064E-3</v>
      </c>
    </row>
    <row r="156" spans="1:7" x14ac:dyDescent="0.25">
      <c r="A156" s="1">
        <f t="shared" si="19"/>
        <v>43620</v>
      </c>
      <c r="B156">
        <v>30074</v>
      </c>
      <c r="C156">
        <v>100793</v>
      </c>
      <c r="D156" s="4">
        <f t="shared" si="18"/>
        <v>130867</v>
      </c>
      <c r="F156" s="5">
        <f t="shared" si="20"/>
        <v>-1.9946808510640235E-4</v>
      </c>
      <c r="G156" s="5">
        <f t="shared" si="21"/>
        <v>-5.9524400043642345E-5</v>
      </c>
    </row>
    <row r="157" spans="1:7" x14ac:dyDescent="0.25">
      <c r="A157" s="1">
        <f t="shared" si="19"/>
        <v>43621</v>
      </c>
      <c r="B157">
        <v>30096</v>
      </c>
      <c r="C157">
        <v>100718</v>
      </c>
      <c r="D157" s="4">
        <f t="shared" si="18"/>
        <v>130814</v>
      </c>
      <c r="F157" s="5">
        <f t="shared" si="20"/>
        <v>7.648056396103442E-4</v>
      </c>
      <c r="G157" s="5">
        <f t="shared" si="21"/>
        <v>8.3470795158691047E-4</v>
      </c>
    </row>
    <row r="158" spans="1:7" x14ac:dyDescent="0.25">
      <c r="A158" s="1">
        <f t="shared" si="19"/>
        <v>43622</v>
      </c>
      <c r="B158">
        <v>30070</v>
      </c>
      <c r="C158">
        <v>100307</v>
      </c>
      <c r="D158" s="4">
        <f t="shared" si="18"/>
        <v>130377</v>
      </c>
      <c r="F158" s="5">
        <f t="shared" si="20"/>
        <v>2.3333333333332984E-3</v>
      </c>
      <c r="G158" s="5">
        <f t="shared" si="21"/>
        <v>1.5876502775891144E-3</v>
      </c>
    </row>
    <row r="159" spans="1:7" x14ac:dyDescent="0.25">
      <c r="A159" s="1">
        <f t="shared" si="19"/>
        <v>43623</v>
      </c>
      <c r="B159">
        <v>30085</v>
      </c>
      <c r="C159">
        <v>100945</v>
      </c>
      <c r="D159" s="4">
        <f t="shared" si="18"/>
        <v>131030</v>
      </c>
      <c r="F159" s="5">
        <f t="shared" si="20"/>
        <v>3.9902902936184148E-4</v>
      </c>
      <c r="G159" s="5">
        <f t="shared" si="21"/>
        <v>7.1436410619680757E-3</v>
      </c>
    </row>
    <row r="160" spans="1:7" x14ac:dyDescent="0.25">
      <c r="A160" s="1">
        <f t="shared" si="19"/>
        <v>43624</v>
      </c>
      <c r="B160">
        <v>30002</v>
      </c>
      <c r="C160">
        <v>100915</v>
      </c>
      <c r="D160" s="4">
        <f t="shared" si="18"/>
        <v>130917</v>
      </c>
      <c r="F160" s="5">
        <f t="shared" si="20"/>
        <v>3.3332222259208066E-5</v>
      </c>
      <c r="G160" s="5">
        <f t="shared" si="21"/>
        <v>5.199565706772491E-3</v>
      </c>
    </row>
    <row r="161" spans="1:7" x14ac:dyDescent="0.25">
      <c r="A161" s="1">
        <f t="shared" si="19"/>
        <v>43625</v>
      </c>
      <c r="B161">
        <v>30099</v>
      </c>
      <c r="C161">
        <v>100418</v>
      </c>
      <c r="D161" s="4">
        <f t="shared" si="18"/>
        <v>130517</v>
      </c>
      <c r="F161" s="5">
        <f t="shared" si="20"/>
        <v>2.765191897654562E-3</v>
      </c>
      <c r="G161" s="5">
        <f t="shared" si="21"/>
        <v>2.0556420388775365E-3</v>
      </c>
    </row>
    <row r="162" spans="1:7" x14ac:dyDescent="0.25">
      <c r="A162" s="1">
        <f t="shared" si="19"/>
        <v>43626</v>
      </c>
      <c r="B162">
        <v>30078</v>
      </c>
      <c r="C162">
        <v>100227</v>
      </c>
      <c r="D162" s="4">
        <f t="shared" si="18"/>
        <v>130305</v>
      </c>
      <c r="F162" s="5">
        <f t="shared" si="20"/>
        <v>1.131673545466727E-3</v>
      </c>
      <c r="G162" s="5">
        <f t="shared" si="21"/>
        <v>-3.8896535216326189E-4</v>
      </c>
    </row>
    <row r="163" spans="1:7" x14ac:dyDescent="0.25">
      <c r="A163" s="1">
        <f t="shared" si="19"/>
        <v>43627</v>
      </c>
      <c r="B163">
        <v>30060</v>
      </c>
      <c r="C163">
        <v>100305</v>
      </c>
      <c r="D163" s="4">
        <f t="shared" si="18"/>
        <v>130365</v>
      </c>
      <c r="F163" s="5">
        <f t="shared" si="20"/>
        <v>-4.6551838797637135E-4</v>
      </c>
      <c r="G163" s="5">
        <f t="shared" si="21"/>
        <v>-4.8416060639131508E-3</v>
      </c>
    </row>
    <row r="164" spans="1:7" x14ac:dyDescent="0.25">
      <c r="A164" s="1">
        <f t="shared" si="19"/>
        <v>43628</v>
      </c>
      <c r="B164">
        <v>30086</v>
      </c>
      <c r="C164">
        <v>100627</v>
      </c>
      <c r="D164" s="4">
        <f t="shared" si="18"/>
        <v>130713</v>
      </c>
      <c r="F164" s="5">
        <f t="shared" si="20"/>
        <v>-3.3227006911218382E-4</v>
      </c>
      <c r="G164" s="5">
        <f t="shared" si="21"/>
        <v>-9.0351277825218013E-4</v>
      </c>
    </row>
    <row r="165" spans="1:7" x14ac:dyDescent="0.25">
      <c r="A165" s="1">
        <f t="shared" si="19"/>
        <v>43629</v>
      </c>
      <c r="B165">
        <v>30049</v>
      </c>
      <c r="C165">
        <v>100372</v>
      </c>
      <c r="D165" s="4">
        <f t="shared" si="18"/>
        <v>130421</v>
      </c>
      <c r="F165" s="5">
        <f t="shared" si="20"/>
        <v>-6.983704689058623E-4</v>
      </c>
      <c r="G165" s="5">
        <f t="shared" si="21"/>
        <v>6.4801060743513439E-4</v>
      </c>
    </row>
    <row r="166" spans="1:7" x14ac:dyDescent="0.25">
      <c r="A166" s="1">
        <f t="shared" si="19"/>
        <v>43630</v>
      </c>
      <c r="B166">
        <v>30062</v>
      </c>
      <c r="C166">
        <v>100710</v>
      </c>
      <c r="D166" s="4">
        <f t="shared" si="18"/>
        <v>130772</v>
      </c>
      <c r="F166" s="5">
        <f t="shared" si="20"/>
        <v>-7.645005816852013E-4</v>
      </c>
      <c r="G166" s="5">
        <f t="shared" si="21"/>
        <v>-2.3280003962553586E-3</v>
      </c>
    </row>
    <row r="167" spans="1:7" x14ac:dyDescent="0.25">
      <c r="A167" s="1">
        <f t="shared" si="19"/>
        <v>43631</v>
      </c>
      <c r="B167">
        <v>30036</v>
      </c>
      <c r="C167">
        <v>100530</v>
      </c>
      <c r="D167" s="4">
        <f t="shared" si="18"/>
        <v>130566</v>
      </c>
      <c r="F167" s="5">
        <f t="shared" si="20"/>
        <v>1.1332577828144785E-3</v>
      </c>
      <c r="G167" s="5">
        <f t="shared" si="21"/>
        <v>-3.8150919090323976E-3</v>
      </c>
    </row>
    <row r="168" spans="1:7" x14ac:dyDescent="0.25">
      <c r="A168" s="1">
        <f t="shared" si="19"/>
        <v>43632</v>
      </c>
      <c r="B168">
        <v>30073</v>
      </c>
      <c r="C168">
        <v>100971</v>
      </c>
      <c r="D168" s="4">
        <f t="shared" si="18"/>
        <v>131044</v>
      </c>
      <c r="F168" s="5">
        <f t="shared" si="20"/>
        <v>-8.6381607362373547E-4</v>
      </c>
      <c r="G168" s="5">
        <f t="shared" si="21"/>
        <v>5.5069808201717585E-3</v>
      </c>
    </row>
    <row r="169" spans="1:7" x14ac:dyDescent="0.25">
      <c r="A169" s="1">
        <f t="shared" si="19"/>
        <v>43633</v>
      </c>
      <c r="B169">
        <v>30004</v>
      </c>
      <c r="C169">
        <v>100088</v>
      </c>
      <c r="D169" s="4">
        <f t="shared" si="18"/>
        <v>130092</v>
      </c>
      <c r="F169" s="5">
        <f t="shared" si="20"/>
        <v>-2.4602699647583437E-3</v>
      </c>
      <c r="G169" s="5">
        <f t="shared" si="21"/>
        <v>-1.3868518463089341E-3</v>
      </c>
    </row>
    <row r="170" spans="1:7" x14ac:dyDescent="0.25">
      <c r="A170" s="1">
        <f t="shared" si="19"/>
        <v>43634</v>
      </c>
      <c r="B170">
        <v>30056</v>
      </c>
      <c r="C170">
        <v>100790</v>
      </c>
      <c r="D170" s="4">
        <f t="shared" si="18"/>
        <v>130846</v>
      </c>
      <c r="F170" s="5">
        <f t="shared" si="20"/>
        <v>-1.3306719893546592E-4</v>
      </c>
      <c r="G170" s="5">
        <f t="shared" si="21"/>
        <v>4.835252479936214E-3</v>
      </c>
    </row>
    <row r="171" spans="1:7" x14ac:dyDescent="0.25">
      <c r="A171" s="1">
        <f t="shared" si="19"/>
        <v>43635</v>
      </c>
      <c r="B171">
        <v>30082</v>
      </c>
      <c r="C171">
        <v>100926</v>
      </c>
      <c r="D171" s="4">
        <f t="shared" si="18"/>
        <v>131008</v>
      </c>
      <c r="F171" s="5">
        <f t="shared" si="20"/>
        <v>-1.3295220368281235E-4</v>
      </c>
      <c r="G171" s="5">
        <f t="shared" si="21"/>
        <v>2.9713695131525775E-3</v>
      </c>
    </row>
    <row r="172" spans="1:7" x14ac:dyDescent="0.25">
      <c r="A172" s="1">
        <f t="shared" si="19"/>
        <v>43636</v>
      </c>
      <c r="B172">
        <v>30000</v>
      </c>
      <c r="C172">
        <v>100682</v>
      </c>
      <c r="D172" s="4">
        <f t="shared" si="18"/>
        <v>130682</v>
      </c>
      <c r="F172" s="5">
        <f t="shared" si="20"/>
        <v>-1.6306699058205032E-3</v>
      </c>
      <c r="G172" s="5">
        <f t="shared" si="21"/>
        <v>3.0885107400471234E-3</v>
      </c>
    </row>
    <row r="173" spans="1:7" x14ac:dyDescent="0.25">
      <c r="A173" s="1">
        <f t="shared" si="19"/>
        <v>43637</v>
      </c>
      <c r="B173">
        <v>30030</v>
      </c>
      <c r="C173">
        <v>100653</v>
      </c>
      <c r="D173" s="4">
        <f t="shared" si="18"/>
        <v>130683</v>
      </c>
      <c r="F173" s="5">
        <f t="shared" si="20"/>
        <v>-1.0644667686781073E-3</v>
      </c>
      <c r="G173" s="5">
        <f t="shared" si="21"/>
        <v>-5.6598153112896732E-4</v>
      </c>
    </row>
    <row r="174" spans="1:7" x14ac:dyDescent="0.25">
      <c r="A174" s="1">
        <f t="shared" si="19"/>
        <v>43638</v>
      </c>
      <c r="B174">
        <v>30099</v>
      </c>
      <c r="C174">
        <v>100580</v>
      </c>
      <c r="D174" s="4">
        <f t="shared" si="18"/>
        <v>130679</v>
      </c>
      <c r="F174" s="5">
        <f t="shared" si="20"/>
        <v>2.0974830203754902E-3</v>
      </c>
      <c r="G174" s="5">
        <f t="shared" si="21"/>
        <v>4.973639709540123E-4</v>
      </c>
    </row>
    <row r="175" spans="1:7" x14ac:dyDescent="0.25">
      <c r="A175" s="1">
        <f t="shared" si="19"/>
        <v>43639</v>
      </c>
      <c r="B175">
        <v>30077</v>
      </c>
      <c r="C175">
        <v>100395</v>
      </c>
      <c r="D175" s="4">
        <f t="shared" si="18"/>
        <v>130472</v>
      </c>
      <c r="F175" s="5">
        <f t="shared" si="20"/>
        <v>1.3300967645402118E-4</v>
      </c>
      <c r="G175" s="5">
        <f t="shared" si="21"/>
        <v>-5.7046082538551035E-3</v>
      </c>
    </row>
    <row r="176" spans="1:7" x14ac:dyDescent="0.25">
      <c r="A176" s="1">
        <f t="shared" si="19"/>
        <v>43640</v>
      </c>
      <c r="B176">
        <v>30058</v>
      </c>
      <c r="C176">
        <v>100413</v>
      </c>
      <c r="D176" s="4">
        <f t="shared" si="18"/>
        <v>130471</v>
      </c>
      <c r="F176" s="5">
        <f t="shared" si="20"/>
        <v>1.7997600319956675E-3</v>
      </c>
      <c r="G176" s="5">
        <f t="shared" si="21"/>
        <v>3.2471425145872423E-3</v>
      </c>
    </row>
    <row r="177" spans="1:7" x14ac:dyDescent="0.25">
      <c r="A177" s="1">
        <f t="shared" si="19"/>
        <v>43641</v>
      </c>
      <c r="B177">
        <v>30025</v>
      </c>
      <c r="C177">
        <v>100584</v>
      </c>
      <c r="D177" s="4">
        <f t="shared" si="18"/>
        <v>130609</v>
      </c>
      <c r="F177" s="5">
        <f t="shared" si="20"/>
        <v>-1.031408038328463E-3</v>
      </c>
      <c r="G177" s="5">
        <f t="shared" si="21"/>
        <v>-2.0438535569005101E-3</v>
      </c>
    </row>
    <row r="178" spans="1:7" x14ac:dyDescent="0.25">
      <c r="A178" s="1">
        <f t="shared" si="19"/>
        <v>43642</v>
      </c>
      <c r="B178">
        <v>30007</v>
      </c>
      <c r="C178">
        <v>100494</v>
      </c>
      <c r="D178" s="4">
        <f t="shared" si="18"/>
        <v>130501</v>
      </c>
      <c r="F178" s="5">
        <f t="shared" si="20"/>
        <v>-2.4931852935310417E-3</v>
      </c>
      <c r="G178" s="5">
        <f t="shared" si="21"/>
        <v>-4.2803638309256709E-3</v>
      </c>
    </row>
    <row r="179" spans="1:7" x14ac:dyDescent="0.25">
      <c r="A179" s="1">
        <f t="shared" si="19"/>
        <v>43643</v>
      </c>
      <c r="B179">
        <v>30088</v>
      </c>
      <c r="C179">
        <v>100310</v>
      </c>
      <c r="D179" s="4">
        <f t="shared" si="18"/>
        <v>130398</v>
      </c>
      <c r="F179" s="5">
        <f t="shared" si="20"/>
        <v>2.9333333333332323E-3</v>
      </c>
      <c r="G179" s="5">
        <f t="shared" si="21"/>
        <v>-3.6948014540831853E-3</v>
      </c>
    </row>
    <row r="180" spans="1:7" x14ac:dyDescent="0.25">
      <c r="A180" s="1">
        <f t="shared" si="19"/>
        <v>43644</v>
      </c>
      <c r="B180">
        <v>30070</v>
      </c>
      <c r="C180">
        <v>100048</v>
      </c>
      <c r="D180" s="4">
        <f t="shared" si="18"/>
        <v>130118</v>
      </c>
      <c r="F180" s="5">
        <f t="shared" si="20"/>
        <v>1.3320013320012869E-3</v>
      </c>
      <c r="G180" s="5">
        <f t="shared" si="21"/>
        <v>-6.0107498037813567E-3</v>
      </c>
    </row>
    <row r="181" spans="1:7" x14ac:dyDescent="0.25">
      <c r="A181" s="1">
        <f t="shared" si="19"/>
        <v>43645</v>
      </c>
      <c r="B181">
        <v>30008</v>
      </c>
      <c r="C181">
        <v>100109</v>
      </c>
      <c r="D181" s="4">
        <f t="shared" si="18"/>
        <v>130117</v>
      </c>
      <c r="F181" s="5">
        <f t="shared" si="20"/>
        <v>-3.0233562576830186E-3</v>
      </c>
      <c r="G181" s="5">
        <f t="shared" si="21"/>
        <v>-4.682839530721794E-3</v>
      </c>
    </row>
    <row r="182" spans="1:7" x14ac:dyDescent="0.25">
      <c r="A182" s="1">
        <f t="shared" si="19"/>
        <v>43646</v>
      </c>
      <c r="B182">
        <v>30093</v>
      </c>
      <c r="C182">
        <v>37124</v>
      </c>
      <c r="D182" s="4">
        <f t="shared" si="18"/>
        <v>67217</v>
      </c>
      <c r="F182" s="5">
        <f t="shared" si="20"/>
        <v>5.3196794893106691E-4</v>
      </c>
      <c r="G182" s="5">
        <f t="shared" si="21"/>
        <v>-0.63022062851735638</v>
      </c>
    </row>
    <row r="183" spans="1:7" x14ac:dyDescent="0.25">
      <c r="A183" s="1">
        <f t="shared" si="19"/>
        <v>43647</v>
      </c>
      <c r="B183">
        <v>30069</v>
      </c>
      <c r="C183">
        <v>100207</v>
      </c>
      <c r="D183" s="4">
        <f t="shared" si="18"/>
        <v>130276</v>
      </c>
      <c r="F183" s="5">
        <f t="shared" si="20"/>
        <v>3.659591456517397E-4</v>
      </c>
      <c r="G183" s="5">
        <f t="shared" si="21"/>
        <v>-2.0515271926941914E-3</v>
      </c>
    </row>
    <row r="184" spans="1:7" x14ac:dyDescent="0.25">
      <c r="A184" s="1">
        <f t="shared" si="19"/>
        <v>43648</v>
      </c>
      <c r="B184">
        <v>30027</v>
      </c>
      <c r="C184">
        <v>100145</v>
      </c>
      <c r="D184" s="4">
        <f t="shared" si="18"/>
        <v>130172</v>
      </c>
      <c r="F184" s="5">
        <f t="shared" si="20"/>
        <v>6.6611157368834384E-5</v>
      </c>
      <c r="G184" s="5">
        <f t="shared" si="21"/>
        <v>-4.3645112542750608E-3</v>
      </c>
    </row>
    <row r="185" spans="1:7" x14ac:dyDescent="0.25">
      <c r="A185" s="1">
        <f t="shared" si="19"/>
        <v>43649</v>
      </c>
      <c r="B185">
        <v>30077</v>
      </c>
      <c r="C185">
        <v>100303</v>
      </c>
      <c r="D185" s="4">
        <f t="shared" si="18"/>
        <v>130380</v>
      </c>
      <c r="F185" s="5">
        <f t="shared" si="20"/>
        <v>2.3327890158963971E-3</v>
      </c>
      <c r="G185" s="5">
        <f t="shared" si="21"/>
        <v>-1.9006109817502059E-3</v>
      </c>
    </row>
    <row r="186" spans="1:7" x14ac:dyDescent="0.25">
      <c r="A186" s="1">
        <f t="shared" si="19"/>
        <v>43650</v>
      </c>
      <c r="B186">
        <v>30011</v>
      </c>
      <c r="C186">
        <v>100028</v>
      </c>
      <c r="D186" s="4">
        <f t="shared" si="18"/>
        <v>130039</v>
      </c>
      <c r="F186" s="5">
        <f t="shared" si="20"/>
        <v>-2.5591597979260916E-3</v>
      </c>
      <c r="G186" s="5">
        <f t="shared" si="21"/>
        <v>-2.8112850164490055E-3</v>
      </c>
    </row>
    <row r="187" spans="1:7" x14ac:dyDescent="0.25">
      <c r="A187" s="1">
        <f t="shared" si="19"/>
        <v>43651</v>
      </c>
      <c r="B187">
        <v>30100</v>
      </c>
      <c r="C187">
        <v>100855</v>
      </c>
      <c r="D187" s="4">
        <f t="shared" si="18"/>
        <v>130955</v>
      </c>
      <c r="F187" s="5">
        <f t="shared" si="20"/>
        <v>9.976720984370413E-4</v>
      </c>
      <c r="G187" s="5">
        <f t="shared" si="21"/>
        <v>8.0661282584360006E-3</v>
      </c>
    </row>
    <row r="188" spans="1:7" x14ac:dyDescent="0.25">
      <c r="A188" s="1">
        <f t="shared" si="19"/>
        <v>43652</v>
      </c>
      <c r="B188">
        <v>30014</v>
      </c>
      <c r="C188">
        <v>100955</v>
      </c>
      <c r="D188" s="4">
        <f t="shared" si="18"/>
        <v>130969</v>
      </c>
      <c r="F188" s="5">
        <f t="shared" si="20"/>
        <v>1.9994668088507694E-4</v>
      </c>
      <c r="G188" s="5">
        <f t="shared" si="21"/>
        <v>8.4507886403819565E-3</v>
      </c>
    </row>
    <row r="189" spans="1:7" x14ac:dyDescent="0.25">
      <c r="A189" s="1">
        <f t="shared" si="19"/>
        <v>43653</v>
      </c>
      <c r="B189">
        <v>30070</v>
      </c>
      <c r="C189">
        <v>100888</v>
      </c>
      <c r="D189" s="4">
        <f t="shared" si="18"/>
        <v>130958</v>
      </c>
      <c r="F189" s="5">
        <f t="shared" si="20"/>
        <v>-7.6429734489746881E-4</v>
      </c>
      <c r="G189" s="5">
        <f t="shared" si="21"/>
        <v>1.7175950867363432</v>
      </c>
    </row>
    <row r="190" spans="1:7" x14ac:dyDescent="0.25">
      <c r="A190" s="1">
        <f t="shared" si="19"/>
        <v>43654</v>
      </c>
      <c r="B190">
        <v>30048</v>
      </c>
      <c r="C190">
        <v>100011</v>
      </c>
      <c r="D190" s="4">
        <f t="shared" si="18"/>
        <v>130059</v>
      </c>
      <c r="F190" s="5">
        <f t="shared" si="20"/>
        <v>-6.9839369450264144E-4</v>
      </c>
      <c r="G190" s="5">
        <f t="shared" si="21"/>
        <v>-1.9559511810551822E-3</v>
      </c>
    </row>
    <row r="191" spans="1:7" x14ac:dyDescent="0.25">
      <c r="A191" s="1">
        <f t="shared" si="19"/>
        <v>43655</v>
      </c>
      <c r="B191">
        <v>30070</v>
      </c>
      <c r="C191">
        <v>100912</v>
      </c>
      <c r="D191" s="4">
        <f t="shared" si="18"/>
        <v>130982</v>
      </c>
      <c r="F191" s="5">
        <f t="shared" si="20"/>
        <v>1.432044493289375E-3</v>
      </c>
      <c r="G191" s="5">
        <f t="shared" si="21"/>
        <v>7.658894602825983E-3</v>
      </c>
    </row>
    <row r="192" spans="1:7" x14ac:dyDescent="0.25">
      <c r="A192" s="1">
        <f t="shared" si="19"/>
        <v>43656</v>
      </c>
      <c r="B192">
        <v>30068</v>
      </c>
      <c r="C192">
        <v>100741</v>
      </c>
      <c r="D192" s="4">
        <f t="shared" si="18"/>
        <v>130809</v>
      </c>
      <c r="F192" s="5">
        <f t="shared" si="20"/>
        <v>-2.9923197127368351E-4</v>
      </c>
      <c r="G192" s="5">
        <f t="shared" si="21"/>
        <v>4.366768690866607E-3</v>
      </c>
    </row>
    <row r="193" spans="1:7" x14ac:dyDescent="0.25">
      <c r="A193" s="1">
        <f t="shared" si="19"/>
        <v>43657</v>
      </c>
      <c r="B193">
        <v>30034</v>
      </c>
      <c r="C193">
        <v>100309</v>
      </c>
      <c r="D193" s="4">
        <f t="shared" si="18"/>
        <v>130343</v>
      </c>
      <c r="F193" s="5">
        <f t="shared" si="20"/>
        <v>7.6638565859177277E-4</v>
      </c>
      <c r="G193" s="5">
        <f t="shared" si="21"/>
        <v>2.809213420242429E-3</v>
      </c>
    </row>
    <row r="194" spans="1:7" x14ac:dyDescent="0.25">
      <c r="A194" s="1">
        <f t="shared" si="19"/>
        <v>43658</v>
      </c>
      <c r="B194">
        <v>30035</v>
      </c>
      <c r="C194">
        <v>100058</v>
      </c>
      <c r="D194" s="4">
        <f t="shared" si="18"/>
        <v>130093</v>
      </c>
      <c r="F194" s="5">
        <f t="shared" si="20"/>
        <v>-2.1594684385382035E-3</v>
      </c>
      <c r="G194" s="5">
        <f t="shared" si="21"/>
        <v>-7.9024341876952064E-3</v>
      </c>
    </row>
    <row r="195" spans="1:7" x14ac:dyDescent="0.25">
      <c r="A195" s="1">
        <f t="shared" si="19"/>
        <v>43659</v>
      </c>
      <c r="B195">
        <v>30051</v>
      </c>
      <c r="C195">
        <v>100565</v>
      </c>
      <c r="D195" s="4">
        <f t="shared" ref="D195:D258" si="22">SUM(B195:C195)</f>
        <v>130616</v>
      </c>
      <c r="F195" s="5">
        <f t="shared" si="20"/>
        <v>1.2327580462450083E-3</v>
      </c>
      <c r="G195" s="5">
        <f t="shared" si="21"/>
        <v>-3.8631073250458003E-3</v>
      </c>
    </row>
    <row r="196" spans="1:7" x14ac:dyDescent="0.25">
      <c r="A196" s="1">
        <f t="shared" ref="A196:A259" si="23">A195+1</f>
        <v>43660</v>
      </c>
      <c r="B196">
        <v>30077</v>
      </c>
      <c r="C196">
        <v>100914</v>
      </c>
      <c r="D196" s="4">
        <f t="shared" si="22"/>
        <v>130991</v>
      </c>
      <c r="F196" s="5">
        <f t="shared" si="20"/>
        <v>2.327901563019541E-4</v>
      </c>
      <c r="G196" s="5">
        <f t="shared" si="21"/>
        <v>2.5771152168752032E-4</v>
      </c>
    </row>
    <row r="197" spans="1:7" x14ac:dyDescent="0.25">
      <c r="A197" s="1">
        <f t="shared" si="23"/>
        <v>43661</v>
      </c>
      <c r="B197">
        <v>30032</v>
      </c>
      <c r="C197">
        <v>100576</v>
      </c>
      <c r="D197" s="4">
        <f t="shared" si="22"/>
        <v>130608</v>
      </c>
      <c r="F197" s="5">
        <f t="shared" si="20"/>
        <v>-5.3248136315231509E-4</v>
      </c>
      <c r="G197" s="5">
        <f t="shared" si="21"/>
        <v>5.6493785683575659E-3</v>
      </c>
    </row>
    <row r="198" spans="1:7" x14ac:dyDescent="0.25">
      <c r="A198" s="1">
        <f t="shared" si="23"/>
        <v>43662</v>
      </c>
      <c r="B198">
        <v>30064</v>
      </c>
      <c r="C198">
        <v>100538</v>
      </c>
      <c r="D198" s="4">
        <f t="shared" si="22"/>
        <v>130602</v>
      </c>
      <c r="F198" s="5">
        <f t="shared" si="20"/>
        <v>-1.9953441968734165E-4</v>
      </c>
      <c r="G198" s="5">
        <f t="shared" si="21"/>
        <v>-3.7061994609164373E-3</v>
      </c>
    </row>
    <row r="199" spans="1:7" x14ac:dyDescent="0.25">
      <c r="A199" s="1">
        <f t="shared" si="23"/>
        <v>43663</v>
      </c>
      <c r="B199">
        <v>30026</v>
      </c>
      <c r="C199">
        <v>100547</v>
      </c>
      <c r="D199" s="4">
        <f t="shared" si="22"/>
        <v>130573</v>
      </c>
      <c r="F199" s="5">
        <f t="shared" si="20"/>
        <v>-1.3968338432885918E-3</v>
      </c>
      <c r="G199" s="5">
        <f t="shared" si="21"/>
        <v>-1.9257303381939872E-3</v>
      </c>
    </row>
    <row r="200" spans="1:7" x14ac:dyDescent="0.25">
      <c r="A200" s="1">
        <f t="shared" si="23"/>
        <v>43664</v>
      </c>
      <c r="B200">
        <v>30080</v>
      </c>
      <c r="C200">
        <v>100907</v>
      </c>
      <c r="D200" s="4">
        <f t="shared" si="22"/>
        <v>130987</v>
      </c>
      <c r="F200" s="5">
        <f t="shared" si="20"/>
        <v>1.5315975228074041E-3</v>
      </c>
      <c r="G200" s="5">
        <f t="shared" si="21"/>
        <v>5.9615787217497385E-3</v>
      </c>
    </row>
    <row r="201" spans="1:7" x14ac:dyDescent="0.25">
      <c r="A201" s="1">
        <f t="shared" si="23"/>
        <v>43665</v>
      </c>
      <c r="B201">
        <v>30066</v>
      </c>
      <c r="C201">
        <v>100258</v>
      </c>
      <c r="D201" s="4">
        <f t="shared" si="22"/>
        <v>130324</v>
      </c>
      <c r="F201" s="5">
        <f t="shared" si="20"/>
        <v>1.0321291826203005E-3</v>
      </c>
      <c r="G201" s="5">
        <f t="shared" si="21"/>
        <v>1.9988406724100738E-3</v>
      </c>
    </row>
    <row r="202" spans="1:7" x14ac:dyDescent="0.25">
      <c r="A202" s="1">
        <f t="shared" si="23"/>
        <v>43666</v>
      </c>
      <c r="B202">
        <v>30086</v>
      </c>
      <c r="C202">
        <v>100077</v>
      </c>
      <c r="D202" s="4">
        <f t="shared" si="22"/>
        <v>130163</v>
      </c>
      <c r="F202" s="5">
        <f t="shared" si="20"/>
        <v>1.1646866992778282E-3</v>
      </c>
      <c r="G202" s="5">
        <f t="shared" si="21"/>
        <v>-4.8525829065778625E-3</v>
      </c>
    </row>
    <row r="203" spans="1:7" x14ac:dyDescent="0.25">
      <c r="A203" s="1">
        <f t="shared" si="23"/>
        <v>43667</v>
      </c>
      <c r="B203">
        <v>30056</v>
      </c>
      <c r="C203">
        <v>100061</v>
      </c>
      <c r="D203" s="4">
        <f t="shared" si="22"/>
        <v>130117</v>
      </c>
      <c r="F203" s="5">
        <f t="shared" si="20"/>
        <v>-6.982079329720392E-4</v>
      </c>
      <c r="G203" s="5">
        <f t="shared" si="21"/>
        <v>-8.452741938680508E-3</v>
      </c>
    </row>
    <row r="204" spans="1:7" x14ac:dyDescent="0.25">
      <c r="A204" s="1">
        <f t="shared" si="23"/>
        <v>43668</v>
      </c>
      <c r="B204">
        <v>30026</v>
      </c>
      <c r="C204">
        <v>100482</v>
      </c>
      <c r="D204" s="4">
        <f t="shared" si="22"/>
        <v>130508</v>
      </c>
      <c r="F204" s="5">
        <f t="shared" si="20"/>
        <v>-1.9978689397970317E-4</v>
      </c>
      <c r="G204" s="5">
        <f t="shared" si="21"/>
        <v>-9.3461660833593641E-4</v>
      </c>
    </row>
    <row r="205" spans="1:7" x14ac:dyDescent="0.25">
      <c r="A205" s="1">
        <f t="shared" si="23"/>
        <v>43669</v>
      </c>
      <c r="B205">
        <v>30046</v>
      </c>
      <c r="C205">
        <v>100559</v>
      </c>
      <c r="D205" s="4">
        <f t="shared" si="22"/>
        <v>130605</v>
      </c>
      <c r="F205" s="5">
        <f t="shared" si="20"/>
        <v>-5.9872272485361755E-4</v>
      </c>
      <c r="G205" s="5">
        <f t="shared" si="21"/>
        <v>2.0887624579768449E-4</v>
      </c>
    </row>
    <row r="206" spans="1:7" x14ac:dyDescent="0.25">
      <c r="A206" s="1">
        <f t="shared" si="23"/>
        <v>43670</v>
      </c>
      <c r="B206">
        <v>30091</v>
      </c>
      <c r="C206">
        <v>100523</v>
      </c>
      <c r="D206" s="4">
        <f t="shared" si="22"/>
        <v>130614</v>
      </c>
      <c r="F206" s="5">
        <f t="shared" si="20"/>
        <v>2.1647905148871605E-3</v>
      </c>
      <c r="G206" s="5">
        <f t="shared" si="21"/>
        <v>-2.3869434194956352E-4</v>
      </c>
    </row>
    <row r="207" spans="1:7" x14ac:dyDescent="0.25">
      <c r="A207" s="1">
        <f t="shared" si="23"/>
        <v>43671</v>
      </c>
      <c r="B207">
        <v>30046</v>
      </c>
      <c r="C207">
        <v>100895</v>
      </c>
      <c r="D207" s="4">
        <f t="shared" si="22"/>
        <v>130941</v>
      </c>
      <c r="F207" s="5">
        <f t="shared" si="20"/>
        <v>-1.1303191489361319E-3</v>
      </c>
      <c r="G207" s="5">
        <f t="shared" si="21"/>
        <v>-1.1892138305569233E-4</v>
      </c>
    </row>
    <row r="208" spans="1:7" x14ac:dyDescent="0.25">
      <c r="A208" s="1">
        <f t="shared" si="23"/>
        <v>43672</v>
      </c>
      <c r="B208">
        <v>30065</v>
      </c>
      <c r="C208">
        <v>100637</v>
      </c>
      <c r="D208" s="4">
        <f t="shared" si="22"/>
        <v>130702</v>
      </c>
      <c r="F208" s="5">
        <f t="shared" si="20"/>
        <v>-3.3260160979153852E-5</v>
      </c>
      <c r="G208" s="5">
        <f t="shared" si="21"/>
        <v>3.7802469628358537E-3</v>
      </c>
    </row>
    <row r="209" spans="1:7" x14ac:dyDescent="0.25">
      <c r="A209" s="1">
        <f t="shared" si="23"/>
        <v>43673</v>
      </c>
      <c r="B209">
        <v>30088</v>
      </c>
      <c r="C209">
        <v>100153</v>
      </c>
      <c r="D209" s="4">
        <f t="shared" si="22"/>
        <v>130241</v>
      </c>
      <c r="F209" s="5">
        <f t="shared" si="20"/>
        <v>6.6476101841406177E-5</v>
      </c>
      <c r="G209" s="5">
        <f t="shared" si="21"/>
        <v>7.5941525025724488E-4</v>
      </c>
    </row>
    <row r="210" spans="1:7" x14ac:dyDescent="0.25">
      <c r="A210" s="1">
        <f t="shared" si="23"/>
        <v>43674</v>
      </c>
      <c r="B210">
        <v>30061</v>
      </c>
      <c r="C210">
        <v>100041</v>
      </c>
      <c r="D210" s="4">
        <f t="shared" si="22"/>
        <v>130102</v>
      </c>
      <c r="F210" s="5">
        <f t="shared" si="20"/>
        <v>1.6635613521431836E-4</v>
      </c>
      <c r="G210" s="5">
        <f t="shared" si="21"/>
        <v>-1.9987807437460425E-4</v>
      </c>
    </row>
    <row r="211" spans="1:7" x14ac:dyDescent="0.25">
      <c r="A211" s="1">
        <f t="shared" si="23"/>
        <v>43675</v>
      </c>
      <c r="B211">
        <v>30093</v>
      </c>
      <c r="C211">
        <v>100472</v>
      </c>
      <c r="D211" s="4">
        <f t="shared" si="22"/>
        <v>130565</v>
      </c>
      <c r="F211" s="5">
        <f t="shared" si="20"/>
        <v>2.2313994538067927E-3</v>
      </c>
      <c r="G211" s="5">
        <f t="shared" si="21"/>
        <v>-9.9520312095702224E-5</v>
      </c>
    </row>
    <row r="212" spans="1:7" x14ac:dyDescent="0.25">
      <c r="A212" s="1">
        <f t="shared" si="23"/>
        <v>43676</v>
      </c>
      <c r="B212">
        <v>30072</v>
      </c>
      <c r="C212">
        <v>100755</v>
      </c>
      <c r="D212" s="4">
        <f t="shared" si="22"/>
        <v>130827</v>
      </c>
      <c r="F212" s="5">
        <f t="shared" ref="F212:F275" si="24">(B212/B205)-1</f>
        <v>8.6533981228775758E-4</v>
      </c>
      <c r="G212" s="5">
        <f t="shared" ref="G212:G275" si="25">(C212/C205)-1</f>
        <v>1.9491045058124268E-3</v>
      </c>
    </row>
    <row r="213" spans="1:7" x14ac:dyDescent="0.25">
      <c r="A213" s="1">
        <f t="shared" si="23"/>
        <v>43677</v>
      </c>
      <c r="B213">
        <v>30054</v>
      </c>
      <c r="C213">
        <v>100951</v>
      </c>
      <c r="D213" s="4">
        <f t="shared" si="22"/>
        <v>131005</v>
      </c>
      <c r="F213" s="5">
        <f t="shared" si="24"/>
        <v>-1.2296035359409263E-3</v>
      </c>
      <c r="G213" s="5">
        <f t="shared" si="25"/>
        <v>4.257732061319297E-3</v>
      </c>
    </row>
    <row r="214" spans="1:7" x14ac:dyDescent="0.25">
      <c r="A214" s="1">
        <f t="shared" si="23"/>
        <v>43678</v>
      </c>
      <c r="B214">
        <v>30051</v>
      </c>
      <c r="C214">
        <v>100472</v>
      </c>
      <c r="D214" s="4">
        <f t="shared" si="22"/>
        <v>130523</v>
      </c>
      <c r="F214" s="5">
        <f t="shared" si="24"/>
        <v>1.6641150236296198E-4</v>
      </c>
      <c r="G214" s="5">
        <f t="shared" si="25"/>
        <v>-4.1924773279151673E-3</v>
      </c>
    </row>
    <row r="215" spans="1:7" x14ac:dyDescent="0.25">
      <c r="A215" s="1">
        <f t="shared" si="23"/>
        <v>43679</v>
      </c>
      <c r="B215">
        <v>30065</v>
      </c>
      <c r="C215">
        <v>100055</v>
      </c>
      <c r="D215" s="4">
        <f t="shared" si="22"/>
        <v>130120</v>
      </c>
      <c r="F215" s="5">
        <f t="shared" si="24"/>
        <v>0</v>
      </c>
      <c r="G215" s="5">
        <f t="shared" si="25"/>
        <v>-5.7831612627562423E-3</v>
      </c>
    </row>
    <row r="216" spans="1:7" x14ac:dyDescent="0.25">
      <c r="A216" s="1">
        <f t="shared" si="23"/>
        <v>43680</v>
      </c>
      <c r="B216">
        <v>30046</v>
      </c>
      <c r="C216">
        <v>100678</v>
      </c>
      <c r="D216" s="4">
        <f t="shared" si="22"/>
        <v>130724</v>
      </c>
      <c r="F216" s="5">
        <f t="shared" si="24"/>
        <v>-1.3959053443233227E-3</v>
      </c>
      <c r="G216" s="5">
        <f t="shared" si="25"/>
        <v>5.2419797709504223E-3</v>
      </c>
    </row>
    <row r="217" spans="1:7" x14ac:dyDescent="0.25">
      <c r="A217" s="1">
        <f t="shared" si="23"/>
        <v>43681</v>
      </c>
      <c r="B217">
        <v>30015</v>
      </c>
      <c r="C217">
        <v>100296</v>
      </c>
      <c r="D217" s="4">
        <f t="shared" si="22"/>
        <v>130311</v>
      </c>
      <c r="F217" s="5">
        <f t="shared" si="24"/>
        <v>-1.5302218821728886E-3</v>
      </c>
      <c r="G217" s="5">
        <f t="shared" si="25"/>
        <v>2.5489549284793966E-3</v>
      </c>
    </row>
    <row r="218" spans="1:7" x14ac:dyDescent="0.25">
      <c r="A218" s="1">
        <f t="shared" si="23"/>
        <v>43682</v>
      </c>
      <c r="B218">
        <v>30006</v>
      </c>
      <c r="C218">
        <v>100335</v>
      </c>
      <c r="D218" s="4">
        <f t="shared" si="22"/>
        <v>130341</v>
      </c>
      <c r="F218" s="5">
        <f t="shared" si="24"/>
        <v>-2.8910377828731404E-3</v>
      </c>
      <c r="G218" s="5">
        <f t="shared" si="25"/>
        <v>-1.3635639780237296E-3</v>
      </c>
    </row>
    <row r="219" spans="1:7" x14ac:dyDescent="0.25">
      <c r="A219" s="1">
        <f t="shared" si="23"/>
        <v>43683</v>
      </c>
      <c r="B219">
        <v>30041</v>
      </c>
      <c r="C219">
        <v>100695</v>
      </c>
      <c r="D219" s="4">
        <f t="shared" si="22"/>
        <v>130736</v>
      </c>
      <c r="F219" s="5">
        <f t="shared" si="24"/>
        <v>-1.0308592710827069E-3</v>
      </c>
      <c r="G219" s="5">
        <f t="shared" si="25"/>
        <v>-5.9550394521368233E-4</v>
      </c>
    </row>
    <row r="220" spans="1:7" x14ac:dyDescent="0.25">
      <c r="A220" s="1">
        <f t="shared" si="23"/>
        <v>43684</v>
      </c>
      <c r="B220">
        <v>30004</v>
      </c>
      <c r="C220">
        <v>100986</v>
      </c>
      <c r="D220" s="4">
        <f t="shared" si="22"/>
        <v>130990</v>
      </c>
      <c r="F220" s="5">
        <f t="shared" si="24"/>
        <v>-1.6636720569641605E-3</v>
      </c>
      <c r="G220" s="5">
        <f t="shared" si="25"/>
        <v>3.4670285584104121E-4</v>
      </c>
    </row>
    <row r="221" spans="1:7" x14ac:dyDescent="0.25">
      <c r="A221" s="1">
        <f t="shared" si="23"/>
        <v>43685</v>
      </c>
      <c r="B221">
        <v>30058</v>
      </c>
      <c r="C221">
        <v>100832</v>
      </c>
      <c r="D221" s="4">
        <f t="shared" si="22"/>
        <v>130890</v>
      </c>
      <c r="F221" s="5">
        <f t="shared" si="24"/>
        <v>2.3293733985552123E-4</v>
      </c>
      <c r="G221" s="5">
        <f t="shared" si="25"/>
        <v>3.5830878254639043E-3</v>
      </c>
    </row>
    <row r="222" spans="1:7" x14ac:dyDescent="0.25">
      <c r="A222" s="1">
        <f t="shared" si="23"/>
        <v>43686</v>
      </c>
      <c r="B222">
        <v>30100</v>
      </c>
      <c r="C222">
        <v>100856</v>
      </c>
      <c r="D222" s="4">
        <f t="shared" si="22"/>
        <v>130956</v>
      </c>
      <c r="F222" s="5">
        <f t="shared" si="24"/>
        <v>1.1641443538998875E-3</v>
      </c>
      <c r="G222" s="5">
        <f t="shared" si="25"/>
        <v>8.0055969216930034E-3</v>
      </c>
    </row>
    <row r="223" spans="1:7" x14ac:dyDescent="0.25">
      <c r="A223" s="1">
        <f t="shared" si="23"/>
        <v>43687</v>
      </c>
      <c r="B223">
        <v>30057</v>
      </c>
      <c r="C223">
        <v>100403</v>
      </c>
      <c r="D223" s="4">
        <f t="shared" si="22"/>
        <v>130460</v>
      </c>
      <c r="F223" s="5">
        <f t="shared" si="24"/>
        <v>3.6610530519864959E-4</v>
      </c>
      <c r="G223" s="5">
        <f t="shared" si="25"/>
        <v>-2.7314805617910665E-3</v>
      </c>
    </row>
    <row r="224" spans="1:7" x14ac:dyDescent="0.25">
      <c r="A224" s="1">
        <f t="shared" si="23"/>
        <v>43688</v>
      </c>
      <c r="B224">
        <v>30067</v>
      </c>
      <c r="C224">
        <v>135180</v>
      </c>
      <c r="D224" s="4">
        <f t="shared" si="22"/>
        <v>165247</v>
      </c>
      <c r="F224" s="5">
        <f t="shared" si="24"/>
        <v>1.7324670997833636E-3</v>
      </c>
      <c r="G224" s="5">
        <f t="shared" si="25"/>
        <v>0.34781048097631007</v>
      </c>
    </row>
    <row r="225" spans="1:7" x14ac:dyDescent="0.25">
      <c r="A225" s="1">
        <f t="shared" si="23"/>
        <v>43689</v>
      </c>
      <c r="B225">
        <v>30045</v>
      </c>
      <c r="C225">
        <v>100153</v>
      </c>
      <c r="D225" s="4">
        <f t="shared" si="22"/>
        <v>130198</v>
      </c>
      <c r="F225" s="5">
        <f t="shared" si="24"/>
        <v>1.2997400519896285E-3</v>
      </c>
      <c r="G225" s="5">
        <f t="shared" si="25"/>
        <v>-1.8139233567548985E-3</v>
      </c>
    </row>
    <row r="226" spans="1:7" x14ac:dyDescent="0.25">
      <c r="A226" s="1">
        <f t="shared" si="23"/>
        <v>43690</v>
      </c>
      <c r="B226">
        <v>30014</v>
      </c>
      <c r="C226">
        <v>100236</v>
      </c>
      <c r="D226" s="4">
        <f t="shared" si="22"/>
        <v>130250</v>
      </c>
      <c r="F226" s="5">
        <f t="shared" si="24"/>
        <v>-8.9877167870577868E-4</v>
      </c>
      <c r="G226" s="5">
        <f t="shared" si="25"/>
        <v>-4.5583196782362778E-3</v>
      </c>
    </row>
    <row r="227" spans="1:7" x14ac:dyDescent="0.25">
      <c r="A227" s="1">
        <f t="shared" si="23"/>
        <v>43691</v>
      </c>
      <c r="B227">
        <v>30008</v>
      </c>
      <c r="C227">
        <v>100350</v>
      </c>
      <c r="D227" s="4">
        <f t="shared" si="22"/>
        <v>130358</v>
      </c>
      <c r="F227" s="5">
        <f t="shared" si="24"/>
        <v>1.3331555792550631E-4</v>
      </c>
      <c r="G227" s="5">
        <f t="shared" si="25"/>
        <v>-6.2979026795793036E-3</v>
      </c>
    </row>
    <row r="228" spans="1:7" x14ac:dyDescent="0.25">
      <c r="A228" s="1">
        <f t="shared" si="23"/>
        <v>43692</v>
      </c>
      <c r="B228">
        <v>30084</v>
      </c>
      <c r="C228">
        <v>100969</v>
      </c>
      <c r="D228" s="4">
        <f t="shared" si="22"/>
        <v>131053</v>
      </c>
      <c r="F228" s="5">
        <f t="shared" si="24"/>
        <v>8.6499434426778876E-4</v>
      </c>
      <c r="G228" s="5">
        <f t="shared" si="25"/>
        <v>1.3586956521738358E-3</v>
      </c>
    </row>
    <row r="229" spans="1:7" x14ac:dyDescent="0.25">
      <c r="A229" s="1">
        <f t="shared" si="23"/>
        <v>43693</v>
      </c>
      <c r="B229">
        <v>30079</v>
      </c>
      <c r="C229">
        <v>100543</v>
      </c>
      <c r="D229" s="4">
        <f t="shared" si="22"/>
        <v>130622</v>
      </c>
      <c r="F229" s="5">
        <f t="shared" si="24"/>
        <v>-6.9767441860468793E-4</v>
      </c>
      <c r="G229" s="5">
        <f t="shared" si="25"/>
        <v>-3.1034345998255386E-3</v>
      </c>
    </row>
    <row r="230" spans="1:7" x14ac:dyDescent="0.25">
      <c r="A230" s="1">
        <f t="shared" si="23"/>
        <v>43694</v>
      </c>
      <c r="B230">
        <v>30019</v>
      </c>
      <c r="C230">
        <v>100046</v>
      </c>
      <c r="D230" s="4">
        <f t="shared" si="22"/>
        <v>130065</v>
      </c>
      <c r="F230" s="5">
        <f t="shared" si="24"/>
        <v>-1.2642645639950878E-3</v>
      </c>
      <c r="G230" s="5">
        <f t="shared" si="25"/>
        <v>-3.5556706472914534E-3</v>
      </c>
    </row>
    <row r="231" spans="1:7" x14ac:dyDescent="0.25">
      <c r="A231" s="1">
        <f t="shared" si="23"/>
        <v>43695</v>
      </c>
      <c r="B231">
        <v>30026</v>
      </c>
      <c r="C231">
        <v>100886</v>
      </c>
      <c r="D231" s="4">
        <f t="shared" si="22"/>
        <v>130912</v>
      </c>
      <c r="F231" s="5">
        <f t="shared" si="24"/>
        <v>-1.3636212458841834E-3</v>
      </c>
      <c r="G231" s="5">
        <f t="shared" si="25"/>
        <v>-0.25369137446367807</v>
      </c>
    </row>
    <row r="232" spans="1:7" x14ac:dyDescent="0.25">
      <c r="A232" s="1">
        <f t="shared" si="23"/>
        <v>43696</v>
      </c>
      <c r="B232">
        <v>30023</v>
      </c>
      <c r="C232">
        <v>100879</v>
      </c>
      <c r="D232" s="4">
        <f t="shared" si="22"/>
        <v>130902</v>
      </c>
      <c r="F232" s="5">
        <f t="shared" si="24"/>
        <v>-7.3223498086205652E-4</v>
      </c>
      <c r="G232" s="5">
        <f t="shared" si="25"/>
        <v>7.2489091689715845E-3</v>
      </c>
    </row>
    <row r="233" spans="1:7" x14ac:dyDescent="0.25">
      <c r="A233" s="1">
        <f t="shared" si="23"/>
        <v>43697</v>
      </c>
      <c r="B233">
        <v>30028</v>
      </c>
      <c r="C233">
        <v>100504</v>
      </c>
      <c r="D233" s="4">
        <f t="shared" si="22"/>
        <v>130532</v>
      </c>
      <c r="F233" s="5">
        <f t="shared" si="24"/>
        <v>4.6644899047110222E-4</v>
      </c>
      <c r="G233" s="5">
        <f t="shared" si="25"/>
        <v>2.6736900913844064E-3</v>
      </c>
    </row>
    <row r="234" spans="1:7" x14ac:dyDescent="0.25">
      <c r="A234" s="1">
        <f t="shared" si="23"/>
        <v>43698</v>
      </c>
      <c r="B234">
        <v>30090</v>
      </c>
      <c r="C234">
        <v>100679</v>
      </c>
      <c r="D234" s="4">
        <f t="shared" si="22"/>
        <v>130769</v>
      </c>
      <c r="F234" s="5">
        <f t="shared" si="24"/>
        <v>2.7326046387630143E-3</v>
      </c>
      <c r="G234" s="5">
        <f t="shared" si="25"/>
        <v>3.2785251619331657E-3</v>
      </c>
    </row>
    <row r="235" spans="1:7" x14ac:dyDescent="0.25">
      <c r="A235" s="1">
        <f t="shared" si="23"/>
        <v>43699</v>
      </c>
      <c r="B235">
        <v>30029</v>
      </c>
      <c r="C235">
        <v>100483</v>
      </c>
      <c r="D235" s="4">
        <f t="shared" si="22"/>
        <v>130512</v>
      </c>
      <c r="F235" s="5">
        <f t="shared" si="24"/>
        <v>-1.8282143332003509E-3</v>
      </c>
      <c r="G235" s="5">
        <f t="shared" si="25"/>
        <v>-4.813358555596281E-3</v>
      </c>
    </row>
    <row r="236" spans="1:7" x14ac:dyDescent="0.25">
      <c r="A236" s="1">
        <f t="shared" si="23"/>
        <v>43700</v>
      </c>
      <c r="B236">
        <v>30020</v>
      </c>
      <c r="C236">
        <v>100797</v>
      </c>
      <c r="D236" s="4">
        <f t="shared" si="22"/>
        <v>130817</v>
      </c>
      <c r="F236" s="5">
        <f t="shared" si="24"/>
        <v>-1.9615013797000813E-3</v>
      </c>
      <c r="G236" s="5">
        <f t="shared" si="25"/>
        <v>2.5262822871805479E-3</v>
      </c>
    </row>
    <row r="237" spans="1:7" x14ac:dyDescent="0.25">
      <c r="A237" s="1">
        <f t="shared" si="23"/>
        <v>43701</v>
      </c>
      <c r="B237">
        <v>30011</v>
      </c>
      <c r="C237">
        <v>100099</v>
      </c>
      <c r="D237" s="4">
        <f t="shared" si="22"/>
        <v>130110</v>
      </c>
      <c r="F237" s="5">
        <f t="shared" si="24"/>
        <v>-2.664978846730337E-4</v>
      </c>
      <c r="G237" s="5">
        <f t="shared" si="25"/>
        <v>5.2975631209650764E-4</v>
      </c>
    </row>
    <row r="238" spans="1:7" x14ac:dyDescent="0.25">
      <c r="A238" s="1">
        <f t="shared" si="23"/>
        <v>43702</v>
      </c>
      <c r="B238">
        <v>30098</v>
      </c>
      <c r="C238">
        <v>100471</v>
      </c>
      <c r="D238" s="4">
        <f t="shared" si="22"/>
        <v>130569</v>
      </c>
      <c r="F238" s="5">
        <f t="shared" si="24"/>
        <v>2.3979218011056513E-3</v>
      </c>
      <c r="G238" s="5">
        <f t="shared" si="25"/>
        <v>-4.1135539123366982E-3</v>
      </c>
    </row>
    <row r="239" spans="1:7" x14ac:dyDescent="0.25">
      <c r="A239" s="1">
        <f t="shared" si="23"/>
        <v>43703</v>
      </c>
      <c r="B239">
        <v>30039</v>
      </c>
      <c r="C239">
        <v>100536</v>
      </c>
      <c r="D239" s="4">
        <f t="shared" si="22"/>
        <v>130575</v>
      </c>
      <c r="F239" s="5">
        <f t="shared" si="24"/>
        <v>5.3292475768573766E-4</v>
      </c>
      <c r="G239" s="5">
        <f t="shared" si="25"/>
        <v>-3.4001130066713126E-3</v>
      </c>
    </row>
    <row r="240" spans="1:7" x14ac:dyDescent="0.25">
      <c r="A240" s="1">
        <f t="shared" si="23"/>
        <v>43704</v>
      </c>
      <c r="B240">
        <v>30092</v>
      </c>
      <c r="C240">
        <v>100143</v>
      </c>
      <c r="D240" s="4">
        <f t="shared" si="22"/>
        <v>130235</v>
      </c>
      <c r="F240" s="5">
        <f t="shared" si="24"/>
        <v>2.1313440788597315E-3</v>
      </c>
      <c r="G240" s="5">
        <f t="shared" si="25"/>
        <v>-3.5918968399267781E-3</v>
      </c>
    </row>
    <row r="241" spans="1:7" x14ac:dyDescent="0.25">
      <c r="A241" s="1">
        <f t="shared" si="23"/>
        <v>43705</v>
      </c>
      <c r="B241">
        <v>30039</v>
      </c>
      <c r="C241">
        <v>100378</v>
      </c>
      <c r="D241" s="4">
        <f t="shared" si="22"/>
        <v>130417</v>
      </c>
      <c r="F241" s="5">
        <f t="shared" si="24"/>
        <v>-1.6949152542372614E-3</v>
      </c>
      <c r="G241" s="5">
        <f t="shared" si="25"/>
        <v>-2.9896999374249278E-3</v>
      </c>
    </row>
    <row r="242" spans="1:7" x14ac:dyDescent="0.25">
      <c r="A242" s="1">
        <f t="shared" si="23"/>
        <v>43706</v>
      </c>
      <c r="B242">
        <v>30030</v>
      </c>
      <c r="C242">
        <v>100903</v>
      </c>
      <c r="D242" s="4">
        <f t="shared" si="22"/>
        <v>130933</v>
      </c>
      <c r="F242" s="5">
        <f t="shared" si="24"/>
        <v>3.3301142229102965E-5</v>
      </c>
      <c r="G242" s="5">
        <f t="shared" si="25"/>
        <v>4.1798115104048073E-3</v>
      </c>
    </row>
    <row r="243" spans="1:7" x14ac:dyDescent="0.25">
      <c r="A243" s="1">
        <f t="shared" si="23"/>
        <v>43707</v>
      </c>
      <c r="B243">
        <v>30007</v>
      </c>
      <c r="C243">
        <v>100445</v>
      </c>
      <c r="D243" s="4">
        <f t="shared" si="22"/>
        <v>130452</v>
      </c>
      <c r="F243" s="5">
        <f t="shared" si="24"/>
        <v>-4.3304463690874151E-4</v>
      </c>
      <c r="G243" s="5">
        <f t="shared" si="25"/>
        <v>-3.4921674256178648E-3</v>
      </c>
    </row>
    <row r="244" spans="1:7" x14ac:dyDescent="0.25">
      <c r="A244" s="1">
        <f t="shared" si="23"/>
        <v>43708</v>
      </c>
      <c r="B244">
        <v>30019</v>
      </c>
      <c r="C244">
        <v>100843</v>
      </c>
      <c r="D244" s="4">
        <f t="shared" si="22"/>
        <v>130862</v>
      </c>
      <c r="F244" s="5">
        <f t="shared" si="24"/>
        <v>2.6656892472765037E-4</v>
      </c>
      <c r="G244" s="5">
        <f t="shared" si="25"/>
        <v>7.4326416847321219E-3</v>
      </c>
    </row>
    <row r="245" spans="1:7" x14ac:dyDescent="0.25">
      <c r="A245" s="1">
        <f t="shared" si="23"/>
        <v>43709</v>
      </c>
      <c r="B245">
        <v>30054</v>
      </c>
      <c r="C245">
        <v>100343</v>
      </c>
      <c r="D245" s="4">
        <f t="shared" si="22"/>
        <v>130397</v>
      </c>
      <c r="F245" s="5">
        <f t="shared" si="24"/>
        <v>-1.4618911555585035E-3</v>
      </c>
      <c r="G245" s="5">
        <f t="shared" si="25"/>
        <v>-1.2739994625314832E-3</v>
      </c>
    </row>
    <row r="246" spans="1:7" x14ac:dyDescent="0.25">
      <c r="A246" s="1">
        <f t="shared" si="23"/>
        <v>43710</v>
      </c>
      <c r="B246">
        <v>30032</v>
      </c>
      <c r="C246">
        <v>100290</v>
      </c>
      <c r="D246" s="4">
        <f t="shared" si="22"/>
        <v>130322</v>
      </c>
      <c r="F246" s="5">
        <f t="shared" si="24"/>
        <v>-2.3303039382138735E-4</v>
      </c>
      <c r="G246" s="5">
        <f t="shared" si="25"/>
        <v>-2.4468846980185699E-3</v>
      </c>
    </row>
    <row r="247" spans="1:7" x14ac:dyDescent="0.25">
      <c r="A247" s="1">
        <f t="shared" si="23"/>
        <v>43711</v>
      </c>
      <c r="B247">
        <v>30024</v>
      </c>
      <c r="C247">
        <v>100694</v>
      </c>
      <c r="D247" s="4">
        <f t="shared" si="22"/>
        <v>130718</v>
      </c>
      <c r="F247" s="5">
        <f t="shared" si="24"/>
        <v>-2.2597368071247681E-3</v>
      </c>
      <c r="G247" s="5">
        <f t="shared" si="25"/>
        <v>5.5021319513095523E-3</v>
      </c>
    </row>
    <row r="248" spans="1:7" x14ac:dyDescent="0.25">
      <c r="A248" s="1">
        <f t="shared" si="23"/>
        <v>43712</v>
      </c>
      <c r="B248">
        <v>30029</v>
      </c>
      <c r="C248">
        <v>100536</v>
      </c>
      <c r="D248" s="4">
        <f t="shared" si="22"/>
        <v>130565</v>
      </c>
      <c r="F248" s="5">
        <f t="shared" si="24"/>
        <v>-3.3290056260193435E-4</v>
      </c>
      <c r="G248" s="5">
        <f t="shared" si="25"/>
        <v>1.574050090657364E-3</v>
      </c>
    </row>
    <row r="249" spans="1:7" x14ac:dyDescent="0.25">
      <c r="A249" s="1">
        <f t="shared" si="23"/>
        <v>43713</v>
      </c>
      <c r="B249">
        <v>30074</v>
      </c>
      <c r="C249">
        <v>100463</v>
      </c>
      <c r="D249" s="4">
        <f t="shared" si="22"/>
        <v>130537</v>
      </c>
      <c r="F249" s="5">
        <f t="shared" si="24"/>
        <v>1.46520146520146E-3</v>
      </c>
      <c r="G249" s="5">
        <f t="shared" si="25"/>
        <v>-4.3606235691704409E-3</v>
      </c>
    </row>
    <row r="250" spans="1:7" x14ac:dyDescent="0.25">
      <c r="A250" s="1">
        <f t="shared" si="23"/>
        <v>43714</v>
      </c>
      <c r="B250">
        <v>30068</v>
      </c>
      <c r="C250">
        <v>100034</v>
      </c>
      <c r="D250" s="4">
        <f t="shared" si="22"/>
        <v>130102</v>
      </c>
      <c r="F250" s="5">
        <f t="shared" si="24"/>
        <v>2.0328589995668445E-3</v>
      </c>
      <c r="G250" s="5">
        <f t="shared" si="25"/>
        <v>-4.0917915277017824E-3</v>
      </c>
    </row>
    <row r="251" spans="1:7" x14ac:dyDescent="0.25">
      <c r="A251" s="1">
        <f t="shared" si="23"/>
        <v>43715</v>
      </c>
      <c r="B251">
        <v>30052</v>
      </c>
      <c r="C251">
        <v>100768</v>
      </c>
      <c r="D251" s="4">
        <f t="shared" si="22"/>
        <v>130820</v>
      </c>
      <c r="F251" s="5">
        <f t="shared" si="24"/>
        <v>1.0993037742763612E-3</v>
      </c>
      <c r="G251" s="5">
        <f t="shared" si="25"/>
        <v>-7.4373035312313984E-4</v>
      </c>
    </row>
    <row r="252" spans="1:7" x14ac:dyDescent="0.25">
      <c r="A252" s="1">
        <f t="shared" si="23"/>
        <v>43716</v>
      </c>
      <c r="B252">
        <v>30100</v>
      </c>
      <c r="C252">
        <v>100898</v>
      </c>
      <c r="D252" s="4">
        <f t="shared" si="22"/>
        <v>130998</v>
      </c>
      <c r="F252" s="5">
        <f t="shared" si="24"/>
        <v>1.5305782924071032E-3</v>
      </c>
      <c r="G252" s="5">
        <f t="shared" si="25"/>
        <v>5.5310285719980534E-3</v>
      </c>
    </row>
    <row r="253" spans="1:7" x14ac:dyDescent="0.25">
      <c r="A253" s="1">
        <f t="shared" si="23"/>
        <v>43717</v>
      </c>
      <c r="B253">
        <v>30088</v>
      </c>
      <c r="C253">
        <v>100970</v>
      </c>
      <c r="D253" s="4">
        <f t="shared" si="22"/>
        <v>131058</v>
      </c>
      <c r="F253" s="5">
        <f t="shared" si="24"/>
        <v>1.8646776771444884E-3</v>
      </c>
      <c r="G253" s="5">
        <f t="shared" si="25"/>
        <v>6.780337022634253E-3</v>
      </c>
    </row>
    <row r="254" spans="1:7" x14ac:dyDescent="0.25">
      <c r="A254" s="1">
        <f t="shared" si="23"/>
        <v>43718</v>
      </c>
      <c r="B254">
        <v>30092</v>
      </c>
      <c r="C254">
        <v>100742</v>
      </c>
      <c r="D254" s="4">
        <f t="shared" si="22"/>
        <v>130834</v>
      </c>
      <c r="F254" s="5">
        <f t="shared" si="24"/>
        <v>2.2648547828403309E-3</v>
      </c>
      <c r="G254" s="5">
        <f t="shared" si="25"/>
        <v>4.7669175919118345E-4</v>
      </c>
    </row>
    <row r="255" spans="1:7" x14ac:dyDescent="0.25">
      <c r="A255" s="1">
        <f t="shared" si="23"/>
        <v>43719</v>
      </c>
      <c r="B255">
        <v>30016</v>
      </c>
      <c r="C255">
        <v>100270</v>
      </c>
      <c r="D255" s="4">
        <f t="shared" si="22"/>
        <v>130286</v>
      </c>
      <c r="F255" s="5">
        <f t="shared" si="24"/>
        <v>-4.3291484897933774E-4</v>
      </c>
      <c r="G255" s="5">
        <f t="shared" si="25"/>
        <v>-2.6458184133046903E-3</v>
      </c>
    </row>
    <row r="256" spans="1:7" x14ac:dyDescent="0.25">
      <c r="A256" s="1">
        <f t="shared" si="23"/>
        <v>43720</v>
      </c>
      <c r="B256">
        <v>30077</v>
      </c>
      <c r="C256">
        <v>100607</v>
      </c>
      <c r="D256" s="4">
        <f t="shared" si="22"/>
        <v>130684</v>
      </c>
      <c r="F256" s="5">
        <f t="shared" si="24"/>
        <v>9.9753940280722375E-5</v>
      </c>
      <c r="G256" s="5">
        <f t="shared" si="25"/>
        <v>1.4333635268706235E-3</v>
      </c>
    </row>
    <row r="257" spans="1:7" x14ac:dyDescent="0.25">
      <c r="A257" s="1">
        <f t="shared" si="23"/>
        <v>43721</v>
      </c>
      <c r="B257">
        <v>30092</v>
      </c>
      <c r="C257">
        <v>100218</v>
      </c>
      <c r="D257" s="4">
        <f t="shared" si="22"/>
        <v>130310</v>
      </c>
      <c r="F257" s="5">
        <f t="shared" si="24"/>
        <v>7.9819076759335417E-4</v>
      </c>
      <c r="G257" s="5">
        <f t="shared" si="25"/>
        <v>1.8393746126317279E-3</v>
      </c>
    </row>
    <row r="258" spans="1:7" x14ac:dyDescent="0.25">
      <c r="A258" s="1">
        <f t="shared" si="23"/>
        <v>43722</v>
      </c>
      <c r="B258">
        <v>30003</v>
      </c>
      <c r="C258">
        <v>100975</v>
      </c>
      <c r="D258" s="4">
        <f t="shared" si="22"/>
        <v>130978</v>
      </c>
      <c r="F258" s="5">
        <f t="shared" si="24"/>
        <v>-1.6305071209903321E-3</v>
      </c>
      <c r="G258" s="5">
        <f t="shared" si="25"/>
        <v>2.0542235630358618E-3</v>
      </c>
    </row>
    <row r="259" spans="1:7" x14ac:dyDescent="0.25">
      <c r="A259" s="1">
        <f t="shared" si="23"/>
        <v>43723</v>
      </c>
      <c r="B259">
        <v>30033</v>
      </c>
      <c r="C259">
        <v>100170</v>
      </c>
      <c r="D259" s="4">
        <f t="shared" ref="D259:D322" si="26">SUM(B259:C259)</f>
        <v>130203</v>
      </c>
      <c r="F259" s="5">
        <f t="shared" si="24"/>
        <v>-2.2259136212624542E-3</v>
      </c>
      <c r="G259" s="5">
        <f t="shared" si="25"/>
        <v>-7.215207437213822E-3</v>
      </c>
    </row>
    <row r="260" spans="1:7" x14ac:dyDescent="0.25">
      <c r="A260" s="1">
        <f t="shared" ref="A260:A323" si="27">A259+1</f>
        <v>43724</v>
      </c>
      <c r="B260">
        <v>30032</v>
      </c>
      <c r="C260">
        <v>100541</v>
      </c>
      <c r="D260" s="4">
        <f t="shared" si="26"/>
        <v>130573</v>
      </c>
      <c r="F260" s="5">
        <f t="shared" si="24"/>
        <v>-1.8612071257644303E-3</v>
      </c>
      <c r="G260" s="5">
        <f t="shared" si="25"/>
        <v>-4.248786768347057E-3</v>
      </c>
    </row>
    <row r="261" spans="1:7" x14ac:dyDescent="0.25">
      <c r="A261" s="1">
        <f t="shared" si="27"/>
        <v>43725</v>
      </c>
      <c r="B261">
        <v>30077</v>
      </c>
      <c r="C261">
        <v>100891</v>
      </c>
      <c r="D261" s="4">
        <f t="shared" si="26"/>
        <v>130968</v>
      </c>
      <c r="F261" s="5">
        <f t="shared" si="24"/>
        <v>-4.9847135451286384E-4</v>
      </c>
      <c r="G261" s="5">
        <f t="shared" si="25"/>
        <v>1.4790256298267135E-3</v>
      </c>
    </row>
    <row r="262" spans="1:7" x14ac:dyDescent="0.25">
      <c r="A262" s="1">
        <f t="shared" si="27"/>
        <v>43726</v>
      </c>
      <c r="B262">
        <v>30028</v>
      </c>
      <c r="C262">
        <v>100185</v>
      </c>
      <c r="D262" s="4">
        <f t="shared" si="26"/>
        <v>130213</v>
      </c>
      <c r="F262" s="5">
        <f t="shared" si="24"/>
        <v>3.9978678038377069E-4</v>
      </c>
      <c r="G262" s="5">
        <f t="shared" si="25"/>
        <v>-8.4771117981452537E-4</v>
      </c>
    </row>
    <row r="263" spans="1:7" x14ac:dyDescent="0.25">
      <c r="A263" s="1">
        <f t="shared" si="27"/>
        <v>43727</v>
      </c>
      <c r="B263">
        <v>30033</v>
      </c>
      <c r="C263">
        <v>100627</v>
      </c>
      <c r="D263" s="4">
        <f t="shared" si="26"/>
        <v>130660</v>
      </c>
      <c r="F263" s="5">
        <f t="shared" si="24"/>
        <v>-1.4629118595604895E-3</v>
      </c>
      <c r="G263" s="5">
        <f t="shared" si="25"/>
        <v>1.9879332452021892E-4</v>
      </c>
    </row>
    <row r="264" spans="1:7" x14ac:dyDescent="0.25">
      <c r="A264" s="1">
        <f t="shared" si="27"/>
        <v>43728</v>
      </c>
      <c r="B264">
        <v>30009</v>
      </c>
      <c r="C264">
        <v>100131</v>
      </c>
      <c r="D264" s="4">
        <f t="shared" si="26"/>
        <v>130140</v>
      </c>
      <c r="F264" s="5">
        <f t="shared" si="24"/>
        <v>-2.7582081616376319E-3</v>
      </c>
      <c r="G264" s="5">
        <f t="shared" si="25"/>
        <v>-8.6810752559418614E-4</v>
      </c>
    </row>
    <row r="265" spans="1:7" x14ac:dyDescent="0.25">
      <c r="A265" s="1">
        <f t="shared" si="27"/>
        <v>43729</v>
      </c>
      <c r="B265">
        <v>30017</v>
      </c>
      <c r="C265">
        <v>100415</v>
      </c>
      <c r="D265" s="4">
        <f t="shared" si="26"/>
        <v>130432</v>
      </c>
      <c r="F265" s="5">
        <f t="shared" si="24"/>
        <v>4.6662000466612952E-4</v>
      </c>
      <c r="G265" s="5">
        <f t="shared" si="25"/>
        <v>-5.5459272097053702E-3</v>
      </c>
    </row>
    <row r="266" spans="1:7" x14ac:dyDescent="0.25">
      <c r="A266" s="1">
        <f t="shared" si="27"/>
        <v>43730</v>
      </c>
      <c r="B266">
        <v>30068</v>
      </c>
      <c r="C266">
        <v>100176</v>
      </c>
      <c r="D266" s="4">
        <f t="shared" si="26"/>
        <v>130244</v>
      </c>
      <c r="F266" s="5">
        <f t="shared" si="24"/>
        <v>1.1653847434489606E-3</v>
      </c>
      <c r="G266" s="5">
        <f t="shared" si="25"/>
        <v>5.9898173105699115E-5</v>
      </c>
    </row>
    <row r="267" spans="1:7" x14ac:dyDescent="0.25">
      <c r="A267" s="1">
        <f t="shared" si="27"/>
        <v>43731</v>
      </c>
      <c r="B267">
        <v>30060</v>
      </c>
      <c r="C267">
        <v>100488</v>
      </c>
      <c r="D267" s="4">
        <f t="shared" si="26"/>
        <v>130548</v>
      </c>
      <c r="F267" s="5">
        <f t="shared" si="24"/>
        <v>9.323388385722442E-4</v>
      </c>
      <c r="G267" s="5">
        <f t="shared" si="25"/>
        <v>-5.2714812862408866E-4</v>
      </c>
    </row>
    <row r="268" spans="1:7" x14ac:dyDescent="0.25">
      <c r="A268" s="1">
        <f t="shared" si="27"/>
        <v>43732</v>
      </c>
      <c r="B268">
        <v>30006</v>
      </c>
      <c r="C268">
        <v>100495</v>
      </c>
      <c r="D268" s="4">
        <f t="shared" si="26"/>
        <v>130501</v>
      </c>
      <c r="F268" s="5">
        <f t="shared" si="24"/>
        <v>-2.3606077733816511E-3</v>
      </c>
      <c r="G268" s="5">
        <f t="shared" si="25"/>
        <v>-3.9250280005154181E-3</v>
      </c>
    </row>
    <row r="269" spans="1:7" x14ac:dyDescent="0.25">
      <c r="A269" s="1">
        <f t="shared" si="27"/>
        <v>43733</v>
      </c>
      <c r="B269">
        <v>30097</v>
      </c>
      <c r="C269">
        <v>100727</v>
      </c>
      <c r="D269" s="4">
        <f t="shared" si="26"/>
        <v>130824</v>
      </c>
      <c r="F269" s="5">
        <f t="shared" si="24"/>
        <v>2.2978553350205821E-3</v>
      </c>
      <c r="G269" s="5">
        <f t="shared" si="25"/>
        <v>5.4099915156959888E-3</v>
      </c>
    </row>
    <row r="270" spans="1:7" x14ac:dyDescent="0.25">
      <c r="A270" s="1">
        <f t="shared" si="27"/>
        <v>43734</v>
      </c>
      <c r="B270">
        <v>30092</v>
      </c>
      <c r="C270">
        <v>100366</v>
      </c>
      <c r="D270" s="4">
        <f t="shared" si="26"/>
        <v>130458</v>
      </c>
      <c r="F270" s="5">
        <f t="shared" si="24"/>
        <v>1.9645057103852004E-3</v>
      </c>
      <c r="G270" s="5">
        <f t="shared" si="25"/>
        <v>-2.5937372673338066E-3</v>
      </c>
    </row>
    <row r="271" spans="1:7" x14ac:dyDescent="0.25">
      <c r="A271" s="1">
        <f t="shared" si="27"/>
        <v>43735</v>
      </c>
      <c r="B271">
        <v>30079</v>
      </c>
      <c r="C271">
        <v>100279</v>
      </c>
      <c r="D271" s="4">
        <f t="shared" si="26"/>
        <v>130358</v>
      </c>
      <c r="F271" s="5">
        <f t="shared" si="24"/>
        <v>2.3326335432702905E-3</v>
      </c>
      <c r="G271" s="5">
        <f t="shared" si="25"/>
        <v>1.4780637365052751E-3</v>
      </c>
    </row>
    <row r="272" spans="1:7" x14ac:dyDescent="0.25">
      <c r="A272" s="1">
        <f t="shared" si="27"/>
        <v>43736</v>
      </c>
      <c r="B272">
        <v>30039</v>
      </c>
      <c r="C272">
        <v>100253</v>
      </c>
      <c r="D272" s="4">
        <f t="shared" si="26"/>
        <v>130292</v>
      </c>
      <c r="F272" s="5">
        <f t="shared" si="24"/>
        <v>7.3291801312591609E-4</v>
      </c>
      <c r="G272" s="5">
        <f t="shared" si="25"/>
        <v>-1.613304785141656E-3</v>
      </c>
    </row>
    <row r="273" spans="1:7" x14ac:dyDescent="0.25">
      <c r="A273" s="1">
        <f t="shared" si="27"/>
        <v>43737</v>
      </c>
      <c r="B273">
        <v>30068</v>
      </c>
      <c r="C273">
        <v>100712</v>
      </c>
      <c r="D273" s="4">
        <f t="shared" si="26"/>
        <v>130780</v>
      </c>
      <c r="F273" s="5">
        <f t="shared" si="24"/>
        <v>0</v>
      </c>
      <c r="G273" s="5">
        <f t="shared" si="25"/>
        <v>5.350582973965734E-3</v>
      </c>
    </row>
    <row r="274" spans="1:7" x14ac:dyDescent="0.25">
      <c r="A274" s="1">
        <f t="shared" si="27"/>
        <v>43738</v>
      </c>
      <c r="B274">
        <v>30095</v>
      </c>
      <c r="C274">
        <v>100008</v>
      </c>
      <c r="D274" s="4">
        <f t="shared" si="26"/>
        <v>130103</v>
      </c>
      <c r="F274" s="5">
        <f t="shared" si="24"/>
        <v>1.1643379906853824E-3</v>
      </c>
      <c r="G274" s="5">
        <f t="shared" si="25"/>
        <v>-4.7766897540004738E-3</v>
      </c>
    </row>
    <row r="275" spans="1:7" x14ac:dyDescent="0.25">
      <c r="A275" s="1">
        <f t="shared" si="27"/>
        <v>43739</v>
      </c>
      <c r="B275">
        <v>30063</v>
      </c>
      <c r="C275">
        <v>100963</v>
      </c>
      <c r="D275" s="4">
        <f t="shared" si="26"/>
        <v>131026</v>
      </c>
      <c r="F275" s="5">
        <f t="shared" si="24"/>
        <v>1.8996200759848758E-3</v>
      </c>
      <c r="G275" s="5">
        <f t="shared" si="25"/>
        <v>4.6569481068710061E-3</v>
      </c>
    </row>
    <row r="276" spans="1:7" x14ac:dyDescent="0.25">
      <c r="A276" s="1">
        <f t="shared" si="27"/>
        <v>43740</v>
      </c>
      <c r="B276">
        <v>30019</v>
      </c>
      <c r="C276">
        <v>100593</v>
      </c>
      <c r="D276" s="4">
        <f t="shared" si="26"/>
        <v>130612</v>
      </c>
      <c r="F276" s="5">
        <f t="shared" ref="F276:F339" si="28">(B276/B269)-1</f>
        <v>-2.5916204272851129E-3</v>
      </c>
      <c r="G276" s="5">
        <f t="shared" ref="G276:G339" si="29">(C276/C269)-1</f>
        <v>-1.3303285117197694E-3</v>
      </c>
    </row>
    <row r="277" spans="1:7" x14ac:dyDescent="0.25">
      <c r="A277" s="1">
        <f t="shared" si="27"/>
        <v>43741</v>
      </c>
      <c r="B277">
        <v>30041</v>
      </c>
      <c r="C277">
        <v>100051</v>
      </c>
      <c r="D277" s="4">
        <f t="shared" si="26"/>
        <v>130092</v>
      </c>
      <c r="F277" s="5">
        <f t="shared" si="28"/>
        <v>-1.6948026053436038E-3</v>
      </c>
      <c r="G277" s="5">
        <f t="shared" si="29"/>
        <v>-3.1385130422653118E-3</v>
      </c>
    </row>
    <row r="278" spans="1:7" x14ac:dyDescent="0.25">
      <c r="A278" s="1">
        <f t="shared" si="27"/>
        <v>43742</v>
      </c>
      <c r="B278">
        <v>30008</v>
      </c>
      <c r="C278">
        <v>100002</v>
      </c>
      <c r="D278" s="4">
        <f t="shared" si="26"/>
        <v>130010</v>
      </c>
      <c r="F278" s="5">
        <f t="shared" si="28"/>
        <v>-2.3604508128595159E-3</v>
      </c>
      <c r="G278" s="5">
        <f t="shared" si="29"/>
        <v>-2.7622932019665258E-3</v>
      </c>
    </row>
    <row r="279" spans="1:7" x14ac:dyDescent="0.25">
      <c r="A279" s="1">
        <f t="shared" si="27"/>
        <v>43743</v>
      </c>
      <c r="B279">
        <v>30018</v>
      </c>
      <c r="C279">
        <v>100375</v>
      </c>
      <c r="D279" s="4">
        <f t="shared" si="26"/>
        <v>130393</v>
      </c>
      <c r="F279" s="5">
        <f t="shared" si="28"/>
        <v>-6.9909118146405103E-4</v>
      </c>
      <c r="G279" s="5">
        <f t="shared" si="29"/>
        <v>1.2169211893908738E-3</v>
      </c>
    </row>
    <row r="280" spans="1:7" x14ac:dyDescent="0.25">
      <c r="A280" s="1">
        <f t="shared" si="27"/>
        <v>43744</v>
      </c>
      <c r="B280">
        <v>30098</v>
      </c>
      <c r="C280">
        <v>100438</v>
      </c>
      <c r="D280" s="4">
        <f t="shared" si="26"/>
        <v>130536</v>
      </c>
      <c r="F280" s="5">
        <f t="shared" si="28"/>
        <v>9.9773845949191475E-4</v>
      </c>
      <c r="G280" s="5">
        <f t="shared" si="29"/>
        <v>-2.7206291206608446E-3</v>
      </c>
    </row>
    <row r="281" spans="1:7" x14ac:dyDescent="0.25">
      <c r="A281" s="1">
        <f t="shared" si="27"/>
        <v>43745</v>
      </c>
      <c r="B281">
        <v>30034</v>
      </c>
      <c r="C281">
        <v>100966</v>
      </c>
      <c r="D281" s="4">
        <f t="shared" si="26"/>
        <v>131000</v>
      </c>
      <c r="F281" s="5">
        <f t="shared" si="28"/>
        <v>-2.0269147698953605E-3</v>
      </c>
      <c r="G281" s="5">
        <f t="shared" si="29"/>
        <v>9.579233661307196E-3</v>
      </c>
    </row>
    <row r="282" spans="1:7" x14ac:dyDescent="0.25">
      <c r="A282" s="1">
        <f t="shared" si="27"/>
        <v>43746</v>
      </c>
      <c r="B282">
        <v>30074</v>
      </c>
      <c r="C282">
        <v>100470</v>
      </c>
      <c r="D282" s="4">
        <f t="shared" si="26"/>
        <v>130544</v>
      </c>
      <c r="F282" s="5">
        <f t="shared" si="28"/>
        <v>3.6589828027810967E-4</v>
      </c>
      <c r="G282" s="5">
        <f t="shared" si="29"/>
        <v>-4.8829769321434568E-3</v>
      </c>
    </row>
    <row r="283" spans="1:7" x14ac:dyDescent="0.25">
      <c r="A283" s="1">
        <f t="shared" si="27"/>
        <v>43747</v>
      </c>
      <c r="B283">
        <v>30027</v>
      </c>
      <c r="C283">
        <v>100934</v>
      </c>
      <c r="D283" s="4">
        <f t="shared" si="26"/>
        <v>130961</v>
      </c>
      <c r="F283" s="5">
        <f t="shared" si="28"/>
        <v>2.6649788467314472E-4</v>
      </c>
      <c r="G283" s="5">
        <f t="shared" si="29"/>
        <v>3.389897905420769E-3</v>
      </c>
    </row>
    <row r="284" spans="1:7" x14ac:dyDescent="0.25">
      <c r="A284" s="1">
        <f t="shared" si="27"/>
        <v>43748</v>
      </c>
      <c r="B284">
        <v>30029</v>
      </c>
      <c r="C284">
        <v>100278</v>
      </c>
      <c r="D284" s="4">
        <f t="shared" si="26"/>
        <v>130307</v>
      </c>
      <c r="F284" s="5">
        <f t="shared" si="28"/>
        <v>-3.9945407942476585E-4</v>
      </c>
      <c r="G284" s="5">
        <f t="shared" si="29"/>
        <v>2.2688428901260771E-3</v>
      </c>
    </row>
    <row r="285" spans="1:7" x14ac:dyDescent="0.25">
      <c r="A285" s="1">
        <f t="shared" si="27"/>
        <v>43749</v>
      </c>
      <c r="B285">
        <v>30011</v>
      </c>
      <c r="C285">
        <v>100791</v>
      </c>
      <c r="D285" s="4">
        <f t="shared" si="26"/>
        <v>130802</v>
      </c>
      <c r="F285" s="5">
        <f t="shared" si="28"/>
        <v>9.9973340442538472E-5</v>
      </c>
      <c r="G285" s="5">
        <f t="shared" si="29"/>
        <v>7.8898422031559168E-3</v>
      </c>
    </row>
    <row r="286" spans="1:7" x14ac:dyDescent="0.25">
      <c r="A286" s="1">
        <f t="shared" si="27"/>
        <v>43750</v>
      </c>
      <c r="B286">
        <v>30027</v>
      </c>
      <c r="C286">
        <v>100090</v>
      </c>
      <c r="D286" s="4">
        <f t="shared" si="26"/>
        <v>130117</v>
      </c>
      <c r="F286" s="5">
        <f t="shared" si="28"/>
        <v>2.99820107935167E-4</v>
      </c>
      <c r="G286" s="5">
        <f t="shared" si="29"/>
        <v>-2.8393524283935045E-3</v>
      </c>
    </row>
    <row r="287" spans="1:7" x14ac:dyDescent="0.25">
      <c r="A287" s="1">
        <f t="shared" si="27"/>
        <v>43751</v>
      </c>
      <c r="B287">
        <v>30058</v>
      </c>
      <c r="C287">
        <v>100860</v>
      </c>
      <c r="D287" s="4">
        <f t="shared" si="26"/>
        <v>130918</v>
      </c>
      <c r="F287" s="5">
        <f t="shared" si="28"/>
        <v>-1.3289919595986799E-3</v>
      </c>
      <c r="G287" s="5">
        <f t="shared" si="29"/>
        <v>4.2015970051176854E-3</v>
      </c>
    </row>
    <row r="288" spans="1:7" x14ac:dyDescent="0.25">
      <c r="A288" s="1">
        <f t="shared" si="27"/>
        <v>43752</v>
      </c>
      <c r="B288">
        <v>30035</v>
      </c>
      <c r="C288">
        <v>100558</v>
      </c>
      <c r="D288" s="4">
        <f t="shared" si="26"/>
        <v>130593</v>
      </c>
      <c r="F288" s="5">
        <f t="shared" si="28"/>
        <v>3.3295598321991804E-5</v>
      </c>
      <c r="G288" s="5">
        <f t="shared" si="29"/>
        <v>-4.0409642850068872E-3</v>
      </c>
    </row>
    <row r="289" spans="1:7" x14ac:dyDescent="0.25">
      <c r="A289" s="1">
        <f t="shared" si="27"/>
        <v>43753</v>
      </c>
      <c r="B289">
        <v>30092</v>
      </c>
      <c r="C289">
        <v>100155</v>
      </c>
      <c r="D289" s="4">
        <f t="shared" si="26"/>
        <v>130247</v>
      </c>
      <c r="F289" s="5">
        <f t="shared" si="28"/>
        <v>5.9852364168389016E-4</v>
      </c>
      <c r="G289" s="5">
        <f t="shared" si="29"/>
        <v>-3.1352642579874912E-3</v>
      </c>
    </row>
    <row r="290" spans="1:7" x14ac:dyDescent="0.25">
      <c r="A290" s="1">
        <f t="shared" si="27"/>
        <v>43754</v>
      </c>
      <c r="B290">
        <v>30000</v>
      </c>
      <c r="C290">
        <v>100200</v>
      </c>
      <c r="D290" s="4">
        <f t="shared" si="26"/>
        <v>130200</v>
      </c>
      <c r="F290" s="5">
        <f t="shared" si="28"/>
        <v>-8.9919072834443448E-4</v>
      </c>
      <c r="G290" s="5">
        <f t="shared" si="29"/>
        <v>-7.272078784156033E-3</v>
      </c>
    </row>
    <row r="291" spans="1:7" x14ac:dyDescent="0.25">
      <c r="A291" s="1">
        <f t="shared" si="27"/>
        <v>43755</v>
      </c>
      <c r="B291">
        <v>30068</v>
      </c>
      <c r="C291">
        <v>100487</v>
      </c>
      <c r="D291" s="4">
        <f t="shared" si="26"/>
        <v>130555</v>
      </c>
      <c r="F291" s="5">
        <f t="shared" si="28"/>
        <v>1.2987445469379022E-3</v>
      </c>
      <c r="G291" s="5">
        <f t="shared" si="29"/>
        <v>2.0842059075769637E-3</v>
      </c>
    </row>
    <row r="292" spans="1:7" x14ac:dyDescent="0.25">
      <c r="A292" s="1">
        <f t="shared" si="27"/>
        <v>43756</v>
      </c>
      <c r="B292">
        <v>30022</v>
      </c>
      <c r="C292">
        <v>100041</v>
      </c>
      <c r="D292" s="4">
        <f t="shared" si="26"/>
        <v>130063</v>
      </c>
      <c r="F292" s="5">
        <f t="shared" si="28"/>
        <v>3.6653227150051926E-4</v>
      </c>
      <c r="G292" s="5">
        <f t="shared" si="29"/>
        <v>-7.441140578027805E-3</v>
      </c>
    </row>
    <row r="293" spans="1:7" x14ac:dyDescent="0.25">
      <c r="A293" s="1">
        <f t="shared" si="27"/>
        <v>43757</v>
      </c>
      <c r="B293">
        <v>30078</v>
      </c>
      <c r="C293">
        <v>100468</v>
      </c>
      <c r="D293" s="4">
        <f t="shared" si="26"/>
        <v>130546</v>
      </c>
      <c r="F293" s="5">
        <f t="shared" si="28"/>
        <v>1.6984713757617342E-3</v>
      </c>
      <c r="G293" s="5">
        <f t="shared" si="29"/>
        <v>3.776601059046758E-3</v>
      </c>
    </row>
    <row r="294" spans="1:7" x14ac:dyDescent="0.25">
      <c r="A294" s="1">
        <f t="shared" si="27"/>
        <v>43758</v>
      </c>
      <c r="B294">
        <v>30077</v>
      </c>
      <c r="C294">
        <v>100422</v>
      </c>
      <c r="D294" s="4">
        <f t="shared" si="26"/>
        <v>130499</v>
      </c>
      <c r="F294" s="5">
        <f t="shared" si="28"/>
        <v>6.3211125158035841E-4</v>
      </c>
      <c r="G294" s="5">
        <f t="shared" si="29"/>
        <v>-4.3426531826293857E-3</v>
      </c>
    </row>
    <row r="295" spans="1:7" x14ac:dyDescent="0.25">
      <c r="A295" s="1">
        <f t="shared" si="27"/>
        <v>43759</v>
      </c>
      <c r="B295">
        <v>30084</v>
      </c>
      <c r="C295">
        <v>100994</v>
      </c>
      <c r="D295" s="4">
        <f t="shared" si="26"/>
        <v>131078</v>
      </c>
      <c r="F295" s="5">
        <f t="shared" si="28"/>
        <v>1.6314299983353209E-3</v>
      </c>
      <c r="G295" s="5">
        <f t="shared" si="29"/>
        <v>4.3358062013962861E-3</v>
      </c>
    </row>
    <row r="296" spans="1:7" x14ac:dyDescent="0.25">
      <c r="A296" s="1">
        <f t="shared" si="27"/>
        <v>43760</v>
      </c>
      <c r="B296">
        <v>30037</v>
      </c>
      <c r="C296">
        <v>100859</v>
      </c>
      <c r="D296" s="4">
        <f t="shared" si="26"/>
        <v>130896</v>
      </c>
      <c r="F296" s="5">
        <f t="shared" si="28"/>
        <v>-1.8277282998803157E-3</v>
      </c>
      <c r="G296" s="5">
        <f t="shared" si="29"/>
        <v>7.0291048874244755E-3</v>
      </c>
    </row>
    <row r="297" spans="1:7" x14ac:dyDescent="0.25">
      <c r="A297" s="1">
        <f t="shared" si="27"/>
        <v>43761</v>
      </c>
      <c r="B297">
        <v>30065</v>
      </c>
      <c r="C297">
        <v>100305</v>
      </c>
      <c r="D297" s="4">
        <f t="shared" si="26"/>
        <v>130370</v>
      </c>
      <c r="F297" s="5">
        <f t="shared" si="28"/>
        <v>2.1666666666666501E-3</v>
      </c>
      <c r="G297" s="5">
        <f t="shared" si="29"/>
        <v>1.0479041916167109E-3</v>
      </c>
    </row>
    <row r="298" spans="1:7" x14ac:dyDescent="0.25">
      <c r="A298" s="1">
        <f t="shared" si="27"/>
        <v>43762</v>
      </c>
      <c r="B298">
        <v>30061</v>
      </c>
      <c r="C298">
        <v>100914</v>
      </c>
      <c r="D298" s="4">
        <f t="shared" si="26"/>
        <v>130975</v>
      </c>
      <c r="F298" s="5">
        <f t="shared" si="28"/>
        <v>-2.3280564054806163E-4</v>
      </c>
      <c r="G298" s="5">
        <f t="shared" si="29"/>
        <v>4.2493058803625416E-3</v>
      </c>
    </row>
    <row r="299" spans="1:7" x14ac:dyDescent="0.25">
      <c r="A299" s="1">
        <f t="shared" si="27"/>
        <v>43763</v>
      </c>
      <c r="B299">
        <v>30052</v>
      </c>
      <c r="C299">
        <v>100809</v>
      </c>
      <c r="D299" s="4">
        <f t="shared" si="26"/>
        <v>130861</v>
      </c>
      <c r="F299" s="5">
        <f t="shared" si="28"/>
        <v>9.9926720405041358E-4</v>
      </c>
      <c r="G299" s="5">
        <f t="shared" si="29"/>
        <v>7.6768524904788915E-3</v>
      </c>
    </row>
    <row r="300" spans="1:7" x14ac:dyDescent="0.25">
      <c r="A300" s="1">
        <f t="shared" si="27"/>
        <v>43764</v>
      </c>
      <c r="B300">
        <v>30019</v>
      </c>
      <c r="C300">
        <v>100398</v>
      </c>
      <c r="D300" s="4">
        <f t="shared" si="26"/>
        <v>130417</v>
      </c>
      <c r="F300" s="5">
        <f t="shared" si="28"/>
        <v>-1.9615665935235338E-3</v>
      </c>
      <c r="G300" s="5">
        <f t="shared" si="29"/>
        <v>-6.967392602619249E-4</v>
      </c>
    </row>
    <row r="301" spans="1:7" x14ac:dyDescent="0.25">
      <c r="A301" s="1">
        <f t="shared" si="27"/>
        <v>43765</v>
      </c>
      <c r="B301">
        <v>30017</v>
      </c>
      <c r="C301">
        <v>100179</v>
      </c>
      <c r="D301" s="4">
        <f t="shared" si="26"/>
        <v>130196</v>
      </c>
      <c r="F301" s="5">
        <f t="shared" si="28"/>
        <v>-1.9948798084915564E-3</v>
      </c>
      <c r="G301" s="5">
        <f t="shared" si="29"/>
        <v>-2.4197884925614144E-3</v>
      </c>
    </row>
    <row r="302" spans="1:7" x14ac:dyDescent="0.25">
      <c r="A302" s="1">
        <f t="shared" si="27"/>
        <v>43766</v>
      </c>
      <c r="B302">
        <v>30084</v>
      </c>
      <c r="C302">
        <v>100001</v>
      </c>
      <c r="D302" s="4">
        <f t="shared" si="26"/>
        <v>130085</v>
      </c>
      <c r="F302" s="5">
        <f t="shared" si="28"/>
        <v>0</v>
      </c>
      <c r="G302" s="5">
        <f t="shared" si="29"/>
        <v>-9.832267263401806E-3</v>
      </c>
    </row>
    <row r="303" spans="1:7" x14ac:dyDescent="0.25">
      <c r="A303" s="1">
        <f t="shared" si="27"/>
        <v>43767</v>
      </c>
      <c r="B303">
        <v>30024</v>
      </c>
      <c r="C303">
        <v>100251</v>
      </c>
      <c r="D303" s="4">
        <f t="shared" si="26"/>
        <v>130275</v>
      </c>
      <c r="F303" s="5">
        <f t="shared" si="28"/>
        <v>-4.3279954722508229E-4</v>
      </c>
      <c r="G303" s="5">
        <f t="shared" si="29"/>
        <v>-6.0282176107239183E-3</v>
      </c>
    </row>
    <row r="304" spans="1:7" x14ac:dyDescent="0.25">
      <c r="A304" s="1">
        <f t="shared" si="27"/>
        <v>43768</v>
      </c>
      <c r="B304">
        <v>30040</v>
      </c>
      <c r="C304">
        <v>100592</v>
      </c>
      <c r="D304" s="4">
        <f t="shared" si="26"/>
        <v>130632</v>
      </c>
      <c r="F304" s="5">
        <f t="shared" si="28"/>
        <v>-8.3153168135707833E-4</v>
      </c>
      <c r="G304" s="5">
        <f t="shared" si="29"/>
        <v>2.8612731169932459E-3</v>
      </c>
    </row>
    <row r="305" spans="1:7" x14ac:dyDescent="0.25">
      <c r="A305" s="1">
        <f t="shared" si="27"/>
        <v>43769</v>
      </c>
      <c r="B305">
        <v>30009</v>
      </c>
      <c r="C305">
        <v>100902</v>
      </c>
      <c r="D305" s="4">
        <f t="shared" si="26"/>
        <v>130911</v>
      </c>
      <c r="F305" s="5">
        <f t="shared" si="28"/>
        <v>-1.7298160407172025E-3</v>
      </c>
      <c r="G305" s="5">
        <f t="shared" si="29"/>
        <v>-1.1891313395562264E-4</v>
      </c>
    </row>
    <row r="306" spans="1:7" x14ac:dyDescent="0.25">
      <c r="A306" s="1">
        <f t="shared" si="27"/>
        <v>43770</v>
      </c>
      <c r="B306">
        <v>30093</v>
      </c>
      <c r="C306">
        <v>100957</v>
      </c>
      <c r="D306" s="4">
        <f t="shared" si="26"/>
        <v>131050</v>
      </c>
      <c r="F306" s="5">
        <f t="shared" si="28"/>
        <v>1.364301876747076E-3</v>
      </c>
      <c r="G306" s="5">
        <f t="shared" si="29"/>
        <v>1.4681228858535178E-3</v>
      </c>
    </row>
    <row r="307" spans="1:7" x14ac:dyDescent="0.25">
      <c r="A307" s="1">
        <f t="shared" si="27"/>
        <v>43771</v>
      </c>
      <c r="B307">
        <v>30066</v>
      </c>
      <c r="C307">
        <v>100528</v>
      </c>
      <c r="D307" s="4">
        <f t="shared" si="26"/>
        <v>130594</v>
      </c>
      <c r="F307" s="5">
        <f t="shared" si="28"/>
        <v>1.5656750724541979E-3</v>
      </c>
      <c r="G307" s="5">
        <f t="shared" si="29"/>
        <v>1.2948465108866269E-3</v>
      </c>
    </row>
    <row r="308" spans="1:7" x14ac:dyDescent="0.25">
      <c r="A308" s="1">
        <f t="shared" si="27"/>
        <v>43772</v>
      </c>
      <c r="B308">
        <v>30072</v>
      </c>
      <c r="C308">
        <v>100639</v>
      </c>
      <c r="D308" s="4">
        <f t="shared" si="26"/>
        <v>130711</v>
      </c>
      <c r="F308" s="5">
        <f t="shared" si="28"/>
        <v>1.8322950328146792E-3</v>
      </c>
      <c r="G308" s="5">
        <f t="shared" si="29"/>
        <v>4.5917807125246402E-3</v>
      </c>
    </row>
    <row r="309" spans="1:7" x14ac:dyDescent="0.25">
      <c r="A309" s="1">
        <f t="shared" si="27"/>
        <v>43773</v>
      </c>
      <c r="B309">
        <v>30029</v>
      </c>
      <c r="C309">
        <v>100429</v>
      </c>
      <c r="D309" s="4">
        <f t="shared" si="26"/>
        <v>130458</v>
      </c>
      <c r="F309" s="5">
        <f t="shared" si="28"/>
        <v>-1.8282143332003509E-3</v>
      </c>
      <c r="G309" s="5">
        <f t="shared" si="29"/>
        <v>4.2799572004279529E-3</v>
      </c>
    </row>
    <row r="310" spans="1:7" x14ac:dyDescent="0.25">
      <c r="A310" s="1">
        <f t="shared" si="27"/>
        <v>43774</v>
      </c>
      <c r="B310">
        <v>30078</v>
      </c>
      <c r="C310">
        <v>100357</v>
      </c>
      <c r="D310" s="4">
        <f t="shared" si="26"/>
        <v>130435</v>
      </c>
      <c r="F310" s="5">
        <f t="shared" si="28"/>
        <v>1.7985611510791255E-3</v>
      </c>
      <c r="G310" s="5">
        <f t="shared" si="29"/>
        <v>1.0573460613858554E-3</v>
      </c>
    </row>
    <row r="311" spans="1:7" x14ac:dyDescent="0.25">
      <c r="A311" s="1">
        <f t="shared" si="27"/>
        <v>43775</v>
      </c>
      <c r="B311">
        <v>30002</v>
      </c>
      <c r="C311">
        <v>100144</v>
      </c>
      <c r="D311" s="4">
        <f t="shared" si="26"/>
        <v>130146</v>
      </c>
      <c r="F311" s="5">
        <f t="shared" si="28"/>
        <v>-1.2649800266311129E-3</v>
      </c>
      <c r="G311" s="5">
        <f t="shared" si="29"/>
        <v>-4.4536344838556063E-3</v>
      </c>
    </row>
    <row r="312" spans="1:7" x14ac:dyDescent="0.25">
      <c r="A312" s="1">
        <f t="shared" si="27"/>
        <v>43776</v>
      </c>
      <c r="B312">
        <v>30086</v>
      </c>
      <c r="C312">
        <v>100119</v>
      </c>
      <c r="D312" s="4">
        <f t="shared" si="26"/>
        <v>130205</v>
      </c>
      <c r="F312" s="5">
        <f t="shared" si="28"/>
        <v>2.5658968975974528E-3</v>
      </c>
      <c r="G312" s="5">
        <f t="shared" si="29"/>
        <v>-7.7600047570910435E-3</v>
      </c>
    </row>
    <row r="313" spans="1:7" x14ac:dyDescent="0.25">
      <c r="A313" s="1">
        <f t="shared" si="27"/>
        <v>43777</v>
      </c>
      <c r="B313">
        <v>30099</v>
      </c>
      <c r="C313">
        <v>100243</v>
      </c>
      <c r="D313" s="4">
        <f t="shared" si="26"/>
        <v>130342</v>
      </c>
      <c r="F313" s="5">
        <f t="shared" si="28"/>
        <v>1.9938191606017064E-4</v>
      </c>
      <c r="G313" s="5">
        <f t="shared" si="29"/>
        <v>-7.0723179175292694E-3</v>
      </c>
    </row>
    <row r="314" spans="1:7" x14ac:dyDescent="0.25">
      <c r="A314" s="1">
        <f t="shared" si="27"/>
        <v>43778</v>
      </c>
      <c r="B314">
        <v>30063</v>
      </c>
      <c r="C314">
        <v>100570</v>
      </c>
      <c r="D314" s="4">
        <f t="shared" si="26"/>
        <v>130633</v>
      </c>
      <c r="F314" s="5">
        <f t="shared" si="28"/>
        <v>-9.9780482937572579E-5</v>
      </c>
      <c r="G314" s="5">
        <f t="shared" si="29"/>
        <v>4.1779404742947612E-4</v>
      </c>
    </row>
    <row r="315" spans="1:7" x14ac:dyDescent="0.25">
      <c r="A315" s="1">
        <f t="shared" si="27"/>
        <v>43779</v>
      </c>
      <c r="B315">
        <v>30029</v>
      </c>
      <c r="C315">
        <v>100589</v>
      </c>
      <c r="D315" s="4">
        <f t="shared" si="26"/>
        <v>130618</v>
      </c>
      <c r="F315" s="5">
        <f t="shared" si="28"/>
        <v>-1.4299015695663497E-3</v>
      </c>
      <c r="G315" s="5">
        <f t="shared" si="29"/>
        <v>-4.9682528641981083E-4</v>
      </c>
    </row>
    <row r="316" spans="1:7" x14ac:dyDescent="0.25">
      <c r="A316" s="1">
        <f t="shared" si="27"/>
        <v>43780</v>
      </c>
      <c r="B316">
        <v>30094</v>
      </c>
      <c r="C316">
        <v>100898</v>
      </c>
      <c r="D316" s="4">
        <f t="shared" si="26"/>
        <v>130992</v>
      </c>
      <c r="F316" s="5">
        <f t="shared" si="28"/>
        <v>2.1645742448965777E-3</v>
      </c>
      <c r="G316" s="5">
        <f t="shared" si="29"/>
        <v>4.6699658465183536E-3</v>
      </c>
    </row>
    <row r="317" spans="1:7" x14ac:dyDescent="0.25">
      <c r="A317" s="1">
        <f t="shared" si="27"/>
        <v>43781</v>
      </c>
      <c r="B317">
        <v>30030</v>
      </c>
      <c r="C317">
        <v>100157</v>
      </c>
      <c r="D317" s="4">
        <f t="shared" si="26"/>
        <v>130187</v>
      </c>
      <c r="F317" s="5">
        <f t="shared" si="28"/>
        <v>-1.5958507879513251E-3</v>
      </c>
      <c r="G317" s="5">
        <f t="shared" si="29"/>
        <v>-1.9928853991251216E-3</v>
      </c>
    </row>
    <row r="318" spans="1:7" x14ac:dyDescent="0.25">
      <c r="A318" s="1">
        <f t="shared" si="27"/>
        <v>43782</v>
      </c>
      <c r="B318">
        <v>30048</v>
      </c>
      <c r="C318">
        <v>100471</v>
      </c>
      <c r="D318" s="4">
        <f t="shared" si="26"/>
        <v>130519</v>
      </c>
      <c r="F318" s="5">
        <f t="shared" si="28"/>
        <v>1.533231117925471E-3</v>
      </c>
      <c r="G318" s="5">
        <f t="shared" si="29"/>
        <v>3.2652979709217878E-3</v>
      </c>
    </row>
    <row r="319" spans="1:7" x14ac:dyDescent="0.25">
      <c r="A319" s="1">
        <f t="shared" si="27"/>
        <v>43783</v>
      </c>
      <c r="B319">
        <v>30033</v>
      </c>
      <c r="C319">
        <v>100661</v>
      </c>
      <c r="D319" s="4">
        <f t="shared" si="26"/>
        <v>130694</v>
      </c>
      <c r="F319" s="5">
        <f t="shared" si="28"/>
        <v>-1.7616166987968196E-3</v>
      </c>
      <c r="G319" s="5">
        <f t="shared" si="29"/>
        <v>5.4135578661393957E-3</v>
      </c>
    </row>
    <row r="320" spans="1:7" x14ac:dyDescent="0.25">
      <c r="A320" s="1">
        <f t="shared" si="27"/>
        <v>43784</v>
      </c>
      <c r="B320">
        <v>30040</v>
      </c>
      <c r="C320">
        <v>100490</v>
      </c>
      <c r="D320" s="4">
        <f t="shared" si="26"/>
        <v>130530</v>
      </c>
      <c r="F320" s="5">
        <f t="shared" si="28"/>
        <v>-1.9601980132230024E-3</v>
      </c>
      <c r="G320" s="5">
        <f t="shared" si="29"/>
        <v>2.4640124497470328E-3</v>
      </c>
    </row>
    <row r="321" spans="1:7" x14ac:dyDescent="0.25">
      <c r="A321" s="1">
        <f t="shared" si="27"/>
        <v>43785</v>
      </c>
      <c r="B321">
        <v>30054</v>
      </c>
      <c r="C321">
        <v>100773</v>
      </c>
      <c r="D321" s="4">
        <f t="shared" si="26"/>
        <v>130827</v>
      </c>
      <c r="F321" s="5">
        <f t="shared" si="28"/>
        <v>-2.993713202275039E-4</v>
      </c>
      <c r="G321" s="5">
        <f t="shared" si="29"/>
        <v>2.0184945808889854E-3</v>
      </c>
    </row>
    <row r="322" spans="1:7" x14ac:dyDescent="0.25">
      <c r="A322" s="1">
        <f t="shared" si="27"/>
        <v>43786</v>
      </c>
      <c r="B322">
        <v>30052</v>
      </c>
      <c r="C322">
        <v>100242</v>
      </c>
      <c r="D322" s="4">
        <f t="shared" si="26"/>
        <v>130294</v>
      </c>
      <c r="F322" s="5">
        <f t="shared" si="28"/>
        <v>7.6592627127114454E-4</v>
      </c>
      <c r="G322" s="5">
        <f t="shared" si="29"/>
        <v>-3.449681376691327E-3</v>
      </c>
    </row>
    <row r="323" spans="1:7" x14ac:dyDescent="0.25">
      <c r="A323" s="1">
        <f t="shared" si="27"/>
        <v>43787</v>
      </c>
      <c r="B323">
        <v>30048</v>
      </c>
      <c r="C323">
        <v>100009</v>
      </c>
      <c r="D323" s="4">
        <f t="shared" ref="D323:D386" si="30">SUM(B323:C323)</f>
        <v>130057</v>
      </c>
      <c r="F323" s="5">
        <f t="shared" si="28"/>
        <v>-1.5285438957931552E-3</v>
      </c>
      <c r="G323" s="5">
        <f t="shared" si="29"/>
        <v>-8.8108783127515133E-3</v>
      </c>
    </row>
    <row r="324" spans="1:7" x14ac:dyDescent="0.25">
      <c r="A324" s="1">
        <f t="shared" ref="A324:A387" si="31">A323+1</f>
        <v>43788</v>
      </c>
      <c r="B324">
        <v>30027</v>
      </c>
      <c r="C324">
        <v>100890</v>
      </c>
      <c r="D324" s="4">
        <f t="shared" si="30"/>
        <v>130917</v>
      </c>
      <c r="F324" s="5">
        <f t="shared" si="28"/>
        <v>-9.9900099900129824E-5</v>
      </c>
      <c r="G324" s="5">
        <f t="shared" si="29"/>
        <v>7.3185099393950903E-3</v>
      </c>
    </row>
    <row r="325" spans="1:7" x14ac:dyDescent="0.25">
      <c r="A325" s="1">
        <f t="shared" si="31"/>
        <v>43789</v>
      </c>
      <c r="B325">
        <v>30019</v>
      </c>
      <c r="C325">
        <v>100321</v>
      </c>
      <c r="D325" s="4">
        <f t="shared" si="30"/>
        <v>130340</v>
      </c>
      <c r="F325" s="5">
        <f t="shared" si="28"/>
        <v>-9.6512247071356416E-4</v>
      </c>
      <c r="G325" s="5">
        <f t="shared" si="29"/>
        <v>-1.4929681201540923E-3</v>
      </c>
    </row>
    <row r="326" spans="1:7" x14ac:dyDescent="0.25">
      <c r="A326" s="1">
        <f t="shared" si="31"/>
        <v>43790</v>
      </c>
      <c r="B326">
        <v>30037</v>
      </c>
      <c r="C326">
        <v>100110</v>
      </c>
      <c r="D326" s="4">
        <f t="shared" si="30"/>
        <v>130147</v>
      </c>
      <c r="F326" s="5">
        <f t="shared" si="28"/>
        <v>1.3318682782270663E-4</v>
      </c>
      <c r="G326" s="5">
        <f t="shared" si="29"/>
        <v>-5.4738180626061617E-3</v>
      </c>
    </row>
    <row r="327" spans="1:7" x14ac:dyDescent="0.25">
      <c r="A327" s="1">
        <f t="shared" si="31"/>
        <v>43791</v>
      </c>
      <c r="B327">
        <v>30062</v>
      </c>
      <c r="C327">
        <v>100667</v>
      </c>
      <c r="D327" s="4">
        <f t="shared" si="30"/>
        <v>130729</v>
      </c>
      <c r="F327" s="5">
        <f t="shared" si="28"/>
        <v>7.3235685752326418E-4</v>
      </c>
      <c r="G327" s="5">
        <f t="shared" si="29"/>
        <v>1.7613692904767664E-3</v>
      </c>
    </row>
    <row r="328" spans="1:7" x14ac:dyDescent="0.25">
      <c r="A328" s="1">
        <f t="shared" si="31"/>
        <v>43792</v>
      </c>
      <c r="B328">
        <v>30046</v>
      </c>
      <c r="C328">
        <v>100902</v>
      </c>
      <c r="D328" s="4">
        <f t="shared" si="30"/>
        <v>130948</v>
      </c>
      <c r="F328" s="5">
        <f t="shared" si="28"/>
        <v>-2.6618752911422572E-4</v>
      </c>
      <c r="G328" s="5">
        <f t="shared" si="29"/>
        <v>1.2801047899735352E-3</v>
      </c>
    </row>
    <row r="329" spans="1:7" x14ac:dyDescent="0.25">
      <c r="A329" s="1">
        <f t="shared" si="31"/>
        <v>43793</v>
      </c>
      <c r="B329">
        <v>30006</v>
      </c>
      <c r="C329">
        <v>100852</v>
      </c>
      <c r="D329" s="4">
        <f t="shared" si="30"/>
        <v>130858</v>
      </c>
      <c r="F329" s="5">
        <f t="shared" si="28"/>
        <v>-1.5306801543990556E-3</v>
      </c>
      <c r="G329" s="5">
        <f t="shared" si="29"/>
        <v>6.08527363779654E-3</v>
      </c>
    </row>
    <row r="330" spans="1:7" x14ac:dyDescent="0.25">
      <c r="A330" s="1">
        <f t="shared" si="31"/>
        <v>43794</v>
      </c>
      <c r="B330">
        <v>30052</v>
      </c>
      <c r="C330">
        <v>100286</v>
      </c>
      <c r="D330" s="4">
        <f t="shared" si="30"/>
        <v>130338</v>
      </c>
      <c r="F330" s="5">
        <f t="shared" si="28"/>
        <v>1.3312034078816204E-4</v>
      </c>
      <c r="G330" s="5">
        <f t="shared" si="29"/>
        <v>2.7697507224349049E-3</v>
      </c>
    </row>
    <row r="331" spans="1:7" x14ac:dyDescent="0.25">
      <c r="A331" s="1">
        <f t="shared" si="31"/>
        <v>43795</v>
      </c>
      <c r="B331">
        <v>30031</v>
      </c>
      <c r="C331">
        <v>100442</v>
      </c>
      <c r="D331" s="4">
        <f t="shared" si="30"/>
        <v>130473</v>
      </c>
      <c r="F331" s="5">
        <f t="shared" si="28"/>
        <v>1.3321344123617962E-4</v>
      </c>
      <c r="G331" s="5">
        <f t="shared" si="29"/>
        <v>-4.4404797303994048E-3</v>
      </c>
    </row>
    <row r="332" spans="1:7" x14ac:dyDescent="0.25">
      <c r="A332" s="1">
        <f t="shared" si="31"/>
        <v>43796</v>
      </c>
      <c r="B332">
        <v>30011</v>
      </c>
      <c r="C332">
        <v>100095</v>
      </c>
      <c r="D332" s="4">
        <f t="shared" si="30"/>
        <v>130106</v>
      </c>
      <c r="F332" s="5">
        <f t="shared" si="28"/>
        <v>-2.664978846730337E-4</v>
      </c>
      <c r="G332" s="5">
        <f t="shared" si="29"/>
        <v>-2.2527686127530311E-3</v>
      </c>
    </row>
    <row r="333" spans="1:7" x14ac:dyDescent="0.25">
      <c r="A333" s="1">
        <f t="shared" si="31"/>
        <v>43797</v>
      </c>
      <c r="B333">
        <v>30062</v>
      </c>
      <c r="C333">
        <v>100574</v>
      </c>
      <c r="D333" s="4">
        <f t="shared" si="30"/>
        <v>130636</v>
      </c>
      <c r="F333" s="5">
        <f t="shared" si="28"/>
        <v>8.3230682158674796E-4</v>
      </c>
      <c r="G333" s="5">
        <f t="shared" si="29"/>
        <v>4.6349016082309902E-3</v>
      </c>
    </row>
    <row r="334" spans="1:7" x14ac:dyDescent="0.25">
      <c r="A334" s="1">
        <f t="shared" si="31"/>
        <v>43798</v>
      </c>
      <c r="B334">
        <v>30064</v>
      </c>
      <c r="C334">
        <v>100348</v>
      </c>
      <c r="D334" s="4">
        <f t="shared" si="30"/>
        <v>130412</v>
      </c>
      <c r="F334" s="5">
        <f t="shared" si="28"/>
        <v>6.6529173042395584E-5</v>
      </c>
      <c r="G334" s="5">
        <f t="shared" si="29"/>
        <v>-3.1688636792593927E-3</v>
      </c>
    </row>
    <row r="335" spans="1:7" x14ac:dyDescent="0.25">
      <c r="A335" s="1">
        <f t="shared" si="31"/>
        <v>43799</v>
      </c>
      <c r="B335">
        <v>30075</v>
      </c>
      <c r="C335">
        <v>100552</v>
      </c>
      <c r="D335" s="4">
        <f t="shared" si="30"/>
        <v>130627</v>
      </c>
      <c r="F335" s="5">
        <f t="shared" si="28"/>
        <v>9.6518671370571241E-4</v>
      </c>
      <c r="G335" s="5">
        <f t="shared" si="29"/>
        <v>-3.4687122158133521E-3</v>
      </c>
    </row>
    <row r="336" spans="1:7" x14ac:dyDescent="0.25">
      <c r="A336" s="1">
        <f t="shared" si="31"/>
        <v>43800</v>
      </c>
      <c r="B336">
        <v>30048</v>
      </c>
      <c r="C336">
        <v>100251</v>
      </c>
      <c r="D336" s="4">
        <f t="shared" si="30"/>
        <v>130299</v>
      </c>
      <c r="F336" s="5">
        <f t="shared" si="28"/>
        <v>1.3997200559887624E-3</v>
      </c>
      <c r="G336" s="5">
        <f t="shared" si="29"/>
        <v>-5.9592273826993836E-3</v>
      </c>
    </row>
    <row r="337" spans="1:7" x14ac:dyDescent="0.25">
      <c r="A337" s="1">
        <f t="shared" si="31"/>
        <v>43801</v>
      </c>
      <c r="B337">
        <v>30034</v>
      </c>
      <c r="C337">
        <v>100564</v>
      </c>
      <c r="D337" s="4">
        <f t="shared" si="30"/>
        <v>130598</v>
      </c>
      <c r="F337" s="5">
        <f t="shared" si="28"/>
        <v>-5.9896179954743722E-4</v>
      </c>
      <c r="G337" s="5">
        <f t="shared" si="29"/>
        <v>2.7720718744390638E-3</v>
      </c>
    </row>
    <row r="338" spans="1:7" x14ac:dyDescent="0.25">
      <c r="A338" s="1">
        <f t="shared" si="31"/>
        <v>43802</v>
      </c>
      <c r="B338">
        <v>30049</v>
      </c>
      <c r="C338">
        <v>100199</v>
      </c>
      <c r="D338" s="4">
        <f t="shared" si="30"/>
        <v>130248</v>
      </c>
      <c r="F338" s="5">
        <f t="shared" si="28"/>
        <v>5.9938064000530922E-4</v>
      </c>
      <c r="G338" s="5">
        <f t="shared" si="29"/>
        <v>-2.4193066645427086E-3</v>
      </c>
    </row>
    <row r="339" spans="1:7" x14ac:dyDescent="0.25">
      <c r="A339" s="1">
        <f t="shared" si="31"/>
        <v>43803</v>
      </c>
      <c r="B339">
        <v>30089</v>
      </c>
      <c r="C339">
        <v>100024</v>
      </c>
      <c r="D339" s="4">
        <f t="shared" si="30"/>
        <v>130113</v>
      </c>
      <c r="F339" s="5">
        <f t="shared" si="28"/>
        <v>2.599047016094147E-3</v>
      </c>
      <c r="G339" s="5">
        <f t="shared" si="29"/>
        <v>-7.0932614016683271E-4</v>
      </c>
    </row>
    <row r="340" spans="1:7" x14ac:dyDescent="0.25">
      <c r="A340" s="1">
        <f t="shared" si="31"/>
        <v>43804</v>
      </c>
      <c r="B340">
        <v>30049</v>
      </c>
      <c r="C340">
        <v>100190</v>
      </c>
      <c r="D340" s="4">
        <f t="shared" si="30"/>
        <v>130239</v>
      </c>
      <c r="F340" s="5">
        <f t="shared" ref="F340:F403" si="32">(B340/B333)-1</f>
        <v>-4.3243962477546027E-4</v>
      </c>
      <c r="G340" s="5">
        <f t="shared" ref="G340:G403" si="33">(C340/C333)-1</f>
        <v>-3.8180841967109247E-3</v>
      </c>
    </row>
    <row r="341" spans="1:7" x14ac:dyDescent="0.25">
      <c r="A341" s="1">
        <f t="shared" si="31"/>
        <v>43805</v>
      </c>
      <c r="B341">
        <v>30089</v>
      </c>
      <c r="C341">
        <v>100574</v>
      </c>
      <c r="D341" s="4">
        <f t="shared" si="30"/>
        <v>130663</v>
      </c>
      <c r="F341" s="5">
        <f t="shared" si="32"/>
        <v>8.3155934007450583E-4</v>
      </c>
      <c r="G341" s="5">
        <f t="shared" si="33"/>
        <v>2.2521624745883706E-3</v>
      </c>
    </row>
    <row r="342" spans="1:7" x14ac:dyDescent="0.25">
      <c r="A342" s="1">
        <f t="shared" si="31"/>
        <v>43806</v>
      </c>
      <c r="B342">
        <v>30085</v>
      </c>
      <c r="C342">
        <v>100564</v>
      </c>
      <c r="D342" s="4">
        <f t="shared" si="30"/>
        <v>130649</v>
      </c>
      <c r="F342" s="5">
        <f t="shared" si="32"/>
        <v>3.3250207813795285E-4</v>
      </c>
      <c r="G342" s="5">
        <f t="shared" si="33"/>
        <v>1.1934123637513672E-4</v>
      </c>
    </row>
    <row r="343" spans="1:7" x14ac:dyDescent="0.25">
      <c r="A343" s="1">
        <f t="shared" si="31"/>
        <v>43807</v>
      </c>
      <c r="B343">
        <v>30082</v>
      </c>
      <c r="C343">
        <v>100692</v>
      </c>
      <c r="D343" s="4">
        <f t="shared" si="30"/>
        <v>130774</v>
      </c>
      <c r="F343" s="5">
        <f t="shared" si="32"/>
        <v>1.1315228966986002E-3</v>
      </c>
      <c r="G343" s="5">
        <f t="shared" si="33"/>
        <v>4.3989586138790671E-3</v>
      </c>
    </row>
    <row r="344" spans="1:7" x14ac:dyDescent="0.25">
      <c r="A344" s="1">
        <f t="shared" si="31"/>
        <v>43808</v>
      </c>
      <c r="B344">
        <v>30071</v>
      </c>
      <c r="C344">
        <v>100124</v>
      </c>
      <c r="D344" s="4">
        <f t="shared" si="30"/>
        <v>130195</v>
      </c>
      <c r="F344" s="5">
        <f t="shared" si="32"/>
        <v>1.2319371379103661E-3</v>
      </c>
      <c r="G344" s="5">
        <f t="shared" si="33"/>
        <v>-4.3753231772801771E-3</v>
      </c>
    </row>
    <row r="345" spans="1:7" x14ac:dyDescent="0.25">
      <c r="A345" s="1">
        <f t="shared" si="31"/>
        <v>43809</v>
      </c>
      <c r="B345">
        <v>30070</v>
      </c>
      <c r="C345">
        <v>100615</v>
      </c>
      <c r="D345" s="4">
        <f t="shared" si="30"/>
        <v>130685</v>
      </c>
      <c r="F345" s="5">
        <f t="shared" si="32"/>
        <v>6.9885853106588236E-4</v>
      </c>
      <c r="G345" s="5">
        <f t="shared" si="33"/>
        <v>4.1517380412978699E-3</v>
      </c>
    </row>
    <row r="346" spans="1:7" x14ac:dyDescent="0.25">
      <c r="A346" s="1">
        <f t="shared" si="31"/>
        <v>43810</v>
      </c>
      <c r="B346">
        <v>30083</v>
      </c>
      <c r="C346">
        <v>100413</v>
      </c>
      <c r="D346" s="4">
        <f t="shared" si="30"/>
        <v>130496</v>
      </c>
      <c r="F346" s="5">
        <f t="shared" si="32"/>
        <v>-1.9940842168231221E-4</v>
      </c>
      <c r="G346" s="5">
        <f t="shared" si="33"/>
        <v>3.88906662401034E-3</v>
      </c>
    </row>
    <row r="347" spans="1:7" x14ac:dyDescent="0.25">
      <c r="A347" s="1">
        <f t="shared" si="31"/>
        <v>43811</v>
      </c>
      <c r="B347">
        <v>30057</v>
      </c>
      <c r="C347">
        <v>100147</v>
      </c>
      <c r="D347" s="4">
        <f t="shared" si="30"/>
        <v>130204</v>
      </c>
      <c r="F347" s="5">
        <f t="shared" si="32"/>
        <v>2.6623182135843138E-4</v>
      </c>
      <c r="G347" s="5">
        <f t="shared" si="33"/>
        <v>-4.2918454935625405E-4</v>
      </c>
    </row>
    <row r="348" spans="1:7" x14ac:dyDescent="0.25">
      <c r="A348" s="1">
        <f t="shared" si="31"/>
        <v>43812</v>
      </c>
      <c r="B348">
        <v>30003</v>
      </c>
      <c r="C348">
        <v>100013</v>
      </c>
      <c r="D348" s="4">
        <f t="shared" si="30"/>
        <v>130016</v>
      </c>
      <c r="F348" s="5">
        <f t="shared" si="32"/>
        <v>-2.8581873774469191E-3</v>
      </c>
      <c r="G348" s="5">
        <f t="shared" si="33"/>
        <v>-5.5779823811322737E-3</v>
      </c>
    </row>
    <row r="349" spans="1:7" x14ac:dyDescent="0.25">
      <c r="A349" s="1">
        <f t="shared" si="31"/>
        <v>43813</v>
      </c>
      <c r="B349">
        <v>30026</v>
      </c>
      <c r="C349">
        <v>100225</v>
      </c>
      <c r="D349" s="4">
        <f t="shared" si="30"/>
        <v>130251</v>
      </c>
      <c r="F349" s="5">
        <f t="shared" si="32"/>
        <v>-1.9611101878012072E-3</v>
      </c>
      <c r="G349" s="5">
        <f t="shared" si="33"/>
        <v>-3.370987629768063E-3</v>
      </c>
    </row>
    <row r="350" spans="1:7" x14ac:dyDescent="0.25">
      <c r="A350" s="1">
        <f t="shared" si="31"/>
        <v>43814</v>
      </c>
      <c r="B350">
        <v>30094</v>
      </c>
      <c r="C350">
        <v>100819</v>
      </c>
      <c r="D350" s="4">
        <f t="shared" si="30"/>
        <v>130913</v>
      </c>
      <c r="F350" s="5">
        <f t="shared" si="32"/>
        <v>3.9890964696498443E-4</v>
      </c>
      <c r="G350" s="5">
        <f t="shared" si="33"/>
        <v>1.2612719977753706E-3</v>
      </c>
    </row>
    <row r="351" spans="1:7" x14ac:dyDescent="0.25">
      <c r="A351" s="1">
        <f t="shared" si="31"/>
        <v>43815</v>
      </c>
      <c r="B351">
        <v>30088</v>
      </c>
      <c r="C351">
        <v>100275</v>
      </c>
      <c r="D351" s="4">
        <f t="shared" si="30"/>
        <v>130363</v>
      </c>
      <c r="F351" s="5">
        <f t="shared" si="32"/>
        <v>5.6532872202463835E-4</v>
      </c>
      <c r="G351" s="5">
        <f t="shared" si="33"/>
        <v>1.5081299189005914E-3</v>
      </c>
    </row>
    <row r="352" spans="1:7" x14ac:dyDescent="0.25">
      <c r="A352" s="1">
        <f t="shared" si="31"/>
        <v>43816</v>
      </c>
      <c r="B352">
        <v>30014</v>
      </c>
      <c r="C352">
        <v>100499</v>
      </c>
      <c r="D352" s="4">
        <f t="shared" si="30"/>
        <v>130513</v>
      </c>
      <c r="F352" s="5">
        <f t="shared" si="32"/>
        <v>-1.8623212504157438E-3</v>
      </c>
      <c r="G352" s="5">
        <f t="shared" si="33"/>
        <v>-1.1529096059236243E-3</v>
      </c>
    </row>
    <row r="353" spans="1:7" x14ac:dyDescent="0.25">
      <c r="A353" s="1">
        <f t="shared" si="31"/>
        <v>43817</v>
      </c>
      <c r="B353">
        <v>30040</v>
      </c>
      <c r="C353">
        <v>100005</v>
      </c>
      <c r="D353" s="4">
        <f t="shared" si="30"/>
        <v>130045</v>
      </c>
      <c r="F353" s="5">
        <f t="shared" si="32"/>
        <v>-1.4293787188777163E-3</v>
      </c>
      <c r="G353" s="5">
        <f t="shared" si="33"/>
        <v>-4.063218905918542E-3</v>
      </c>
    </row>
    <row r="354" spans="1:7" x14ac:dyDescent="0.25">
      <c r="A354" s="1">
        <f t="shared" si="31"/>
        <v>43818</v>
      </c>
      <c r="B354">
        <v>30009</v>
      </c>
      <c r="C354">
        <v>100324</v>
      </c>
      <c r="D354" s="4">
        <f t="shared" si="30"/>
        <v>130333</v>
      </c>
      <c r="F354" s="5">
        <f t="shared" si="32"/>
        <v>-1.5969657650464208E-3</v>
      </c>
      <c r="G354" s="5">
        <f t="shared" si="33"/>
        <v>1.7674019191789014E-3</v>
      </c>
    </row>
    <row r="355" spans="1:7" x14ac:dyDescent="0.25">
      <c r="A355" s="1">
        <f t="shared" si="31"/>
        <v>43819</v>
      </c>
      <c r="B355">
        <v>30007</v>
      </c>
      <c r="C355">
        <v>100256</v>
      </c>
      <c r="D355" s="4">
        <f t="shared" si="30"/>
        <v>130263</v>
      </c>
      <c r="F355" s="5">
        <f t="shared" si="32"/>
        <v>1.3332000133314814E-4</v>
      </c>
      <c r="G355" s="5">
        <f t="shared" si="33"/>
        <v>2.4296841410615944E-3</v>
      </c>
    </row>
    <row r="356" spans="1:7" x14ac:dyDescent="0.25">
      <c r="A356" s="1">
        <f t="shared" si="31"/>
        <v>43820</v>
      </c>
      <c r="B356">
        <v>30040</v>
      </c>
      <c r="C356">
        <v>100157</v>
      </c>
      <c r="D356" s="4">
        <f t="shared" si="30"/>
        <v>130197</v>
      </c>
      <c r="F356" s="5">
        <f t="shared" si="32"/>
        <v>4.6626257243720381E-4</v>
      </c>
      <c r="G356" s="5">
        <f t="shared" si="33"/>
        <v>-6.784734347717869E-4</v>
      </c>
    </row>
    <row r="357" spans="1:7" x14ac:dyDescent="0.25">
      <c r="A357" s="1">
        <f t="shared" si="31"/>
        <v>43821</v>
      </c>
      <c r="B357">
        <v>30012</v>
      </c>
      <c r="C357">
        <v>100269</v>
      </c>
      <c r="D357" s="4">
        <f t="shared" si="30"/>
        <v>130281</v>
      </c>
      <c r="F357" s="5">
        <f t="shared" si="32"/>
        <v>-2.7247956403270157E-3</v>
      </c>
      <c r="G357" s="5">
        <f t="shared" si="33"/>
        <v>-5.4553209216516851E-3</v>
      </c>
    </row>
    <row r="358" spans="1:7" x14ac:dyDescent="0.25">
      <c r="A358" s="1">
        <f t="shared" si="31"/>
        <v>43822</v>
      </c>
      <c r="B358">
        <v>30079</v>
      </c>
      <c r="C358">
        <v>100608</v>
      </c>
      <c r="D358" s="4">
        <f t="shared" si="30"/>
        <v>130687</v>
      </c>
      <c r="F358" s="5">
        <f t="shared" si="32"/>
        <v>-2.9912257378361673E-4</v>
      </c>
      <c r="G358" s="5">
        <f t="shared" si="33"/>
        <v>3.3208676140612514E-3</v>
      </c>
    </row>
    <row r="359" spans="1:7" x14ac:dyDescent="0.25">
      <c r="A359" s="1">
        <f t="shared" si="31"/>
        <v>43823</v>
      </c>
      <c r="B359">
        <v>30074</v>
      </c>
      <c r="C359">
        <v>100421</v>
      </c>
      <c r="D359" s="4">
        <f t="shared" si="30"/>
        <v>130495</v>
      </c>
      <c r="F359" s="5">
        <f t="shared" si="32"/>
        <v>1.9990671020191364E-3</v>
      </c>
      <c r="G359" s="5">
        <f t="shared" si="33"/>
        <v>-7.7612712564301134E-4</v>
      </c>
    </row>
    <row r="360" spans="1:7" x14ac:dyDescent="0.25">
      <c r="A360" s="1">
        <f t="shared" si="31"/>
        <v>43824</v>
      </c>
      <c r="B360">
        <v>30052</v>
      </c>
      <c r="C360">
        <v>100280</v>
      </c>
      <c r="D360" s="4">
        <f t="shared" si="30"/>
        <v>130332</v>
      </c>
      <c r="F360" s="5">
        <f t="shared" si="32"/>
        <v>3.99467376830831E-4</v>
      </c>
      <c r="G360" s="5">
        <f t="shared" si="33"/>
        <v>2.7498625068747007E-3</v>
      </c>
    </row>
    <row r="361" spans="1:7" x14ac:dyDescent="0.25">
      <c r="A361" s="1">
        <f t="shared" si="31"/>
        <v>43825</v>
      </c>
      <c r="B361">
        <v>30090</v>
      </c>
      <c r="C361">
        <v>100432</v>
      </c>
      <c r="D361" s="4">
        <f t="shared" si="30"/>
        <v>130522</v>
      </c>
      <c r="F361" s="5">
        <f t="shared" si="32"/>
        <v>2.6991902429271963E-3</v>
      </c>
      <c r="G361" s="5">
        <f t="shared" si="33"/>
        <v>1.0765121007934031E-3</v>
      </c>
    </row>
    <row r="362" spans="1:7" x14ac:dyDescent="0.25">
      <c r="A362" s="1">
        <f t="shared" si="31"/>
        <v>43826</v>
      </c>
      <c r="B362">
        <v>30048</v>
      </c>
      <c r="C362">
        <v>100289</v>
      </c>
      <c r="D362" s="4">
        <f t="shared" si="30"/>
        <v>130337</v>
      </c>
      <c r="F362" s="5">
        <f t="shared" si="32"/>
        <v>1.3663478521679373E-3</v>
      </c>
      <c r="G362" s="5">
        <f t="shared" si="33"/>
        <v>3.2915735716576577E-4</v>
      </c>
    </row>
    <row r="363" spans="1:7" x14ac:dyDescent="0.25">
      <c r="A363" s="1">
        <f t="shared" si="31"/>
        <v>43827</v>
      </c>
      <c r="B363">
        <v>30000</v>
      </c>
      <c r="C363">
        <v>100941</v>
      </c>
      <c r="D363" s="4">
        <f t="shared" si="30"/>
        <v>130941</v>
      </c>
      <c r="F363" s="5">
        <f t="shared" si="32"/>
        <v>-1.3315579227696217E-3</v>
      </c>
      <c r="G363" s="5">
        <f t="shared" si="33"/>
        <v>7.8277104945236875E-3</v>
      </c>
    </row>
    <row r="364" spans="1:7" x14ac:dyDescent="0.25">
      <c r="A364" s="1">
        <f t="shared" si="31"/>
        <v>43828</v>
      </c>
      <c r="B364">
        <v>30033</v>
      </c>
      <c r="C364">
        <v>100672</v>
      </c>
      <c r="D364" s="4">
        <f t="shared" si="30"/>
        <v>130705</v>
      </c>
      <c r="F364" s="5">
        <f t="shared" si="32"/>
        <v>6.9972011195518213E-4</v>
      </c>
      <c r="G364" s="5">
        <f t="shared" si="33"/>
        <v>4.019188383248995E-3</v>
      </c>
    </row>
    <row r="365" spans="1:7" x14ac:dyDescent="0.25">
      <c r="A365" s="1">
        <f t="shared" si="31"/>
        <v>43829</v>
      </c>
      <c r="B365">
        <v>30050</v>
      </c>
      <c r="C365">
        <v>100949</v>
      </c>
      <c r="D365" s="4">
        <f t="shared" si="30"/>
        <v>130999</v>
      </c>
      <c r="F365" s="5">
        <f t="shared" si="32"/>
        <v>-9.6412779680177252E-4</v>
      </c>
      <c r="G365" s="5">
        <f t="shared" si="33"/>
        <v>3.3893924936387876E-3</v>
      </c>
    </row>
    <row r="366" spans="1:7" x14ac:dyDescent="0.25">
      <c r="A366" s="1">
        <f t="shared" si="31"/>
        <v>43830</v>
      </c>
      <c r="B366">
        <v>30071</v>
      </c>
      <c r="C366">
        <v>100514</v>
      </c>
      <c r="D366" s="4">
        <f t="shared" si="30"/>
        <v>130585</v>
      </c>
      <c r="F366" s="5">
        <f t="shared" si="32"/>
        <v>-9.9753940280611353E-5</v>
      </c>
      <c r="G366" s="5">
        <f t="shared" si="33"/>
        <v>9.2610111430868614E-4</v>
      </c>
    </row>
    <row r="367" spans="1:7" x14ac:dyDescent="0.25">
      <c r="A367" s="1">
        <f t="shared" si="31"/>
        <v>43831</v>
      </c>
      <c r="B367">
        <v>30098</v>
      </c>
      <c r="C367">
        <v>100011</v>
      </c>
      <c r="D367" s="4">
        <f t="shared" si="30"/>
        <v>130109</v>
      </c>
      <c r="F367" s="5">
        <f t="shared" si="32"/>
        <v>1.5306801543990556E-3</v>
      </c>
      <c r="G367" s="5">
        <f t="shared" si="33"/>
        <v>-2.682489030713997E-3</v>
      </c>
    </row>
    <row r="368" spans="1:7" x14ac:dyDescent="0.25">
      <c r="A368" s="1">
        <f t="shared" si="31"/>
        <v>43832</v>
      </c>
      <c r="B368">
        <v>30052</v>
      </c>
      <c r="C368">
        <v>100633</v>
      </c>
      <c r="D368" s="4">
        <f t="shared" si="30"/>
        <v>130685</v>
      </c>
      <c r="F368" s="5">
        <f t="shared" si="32"/>
        <v>-1.2628780325689704E-3</v>
      </c>
      <c r="G368" s="5">
        <f t="shared" si="33"/>
        <v>2.0013541500716325E-3</v>
      </c>
    </row>
    <row r="369" spans="1:7" x14ac:dyDescent="0.25">
      <c r="A369" s="1">
        <f t="shared" si="31"/>
        <v>43833</v>
      </c>
      <c r="B369">
        <v>30037</v>
      </c>
      <c r="C369">
        <v>100844</v>
      </c>
      <c r="D369" s="4">
        <f t="shared" si="30"/>
        <v>130881</v>
      </c>
      <c r="F369" s="5">
        <f t="shared" si="32"/>
        <v>-3.6608093716716805E-4</v>
      </c>
      <c r="G369" s="5">
        <f t="shared" si="33"/>
        <v>5.5340067205775778E-3</v>
      </c>
    </row>
    <row r="370" spans="1:7" x14ac:dyDescent="0.25">
      <c r="A370" s="1">
        <f t="shared" si="31"/>
        <v>43834</v>
      </c>
      <c r="B370">
        <v>30041</v>
      </c>
      <c r="C370">
        <v>100683</v>
      </c>
      <c r="D370" s="4">
        <f t="shared" si="30"/>
        <v>130724</v>
      </c>
      <c r="F370" s="5">
        <f t="shared" si="32"/>
        <v>1.3666666666667382E-3</v>
      </c>
      <c r="G370" s="5">
        <f t="shared" si="33"/>
        <v>-2.5559485243855651E-3</v>
      </c>
    </row>
    <row r="371" spans="1:7" x14ac:dyDescent="0.25">
      <c r="A371" s="1">
        <f t="shared" si="31"/>
        <v>43835</v>
      </c>
      <c r="B371">
        <v>30007</v>
      </c>
      <c r="C371">
        <v>100344</v>
      </c>
      <c r="D371" s="4">
        <f t="shared" si="30"/>
        <v>130351</v>
      </c>
      <c r="F371" s="5">
        <f t="shared" si="32"/>
        <v>-8.6571438084770413E-4</v>
      </c>
      <c r="G371" s="5">
        <f t="shared" si="33"/>
        <v>-3.2581055308328333E-3</v>
      </c>
    </row>
    <row r="372" spans="1:7" x14ac:dyDescent="0.25">
      <c r="A372" s="1">
        <f t="shared" si="31"/>
        <v>43836</v>
      </c>
      <c r="B372">
        <v>30050</v>
      </c>
      <c r="C372">
        <v>100639</v>
      </c>
      <c r="D372" s="4">
        <f t="shared" si="30"/>
        <v>130689</v>
      </c>
      <c r="F372" s="5">
        <f t="shared" si="32"/>
        <v>0</v>
      </c>
      <c r="G372" s="5">
        <f t="shared" si="33"/>
        <v>-3.0708575617390821E-3</v>
      </c>
    </row>
    <row r="373" spans="1:7" x14ac:dyDescent="0.25">
      <c r="A373" s="1">
        <f t="shared" si="31"/>
        <v>43837</v>
      </c>
      <c r="B373">
        <v>30059</v>
      </c>
      <c r="C373">
        <v>100424</v>
      </c>
      <c r="D373" s="4">
        <f t="shared" si="30"/>
        <v>130483</v>
      </c>
      <c r="F373" s="5">
        <f t="shared" si="32"/>
        <v>-3.9905556848796042E-4</v>
      </c>
      <c r="G373" s="5">
        <f t="shared" si="33"/>
        <v>-8.9539765604795818E-4</v>
      </c>
    </row>
    <row r="374" spans="1:7" x14ac:dyDescent="0.25">
      <c r="A374" s="1">
        <f t="shared" si="31"/>
        <v>43838</v>
      </c>
      <c r="B374">
        <v>30087</v>
      </c>
      <c r="C374">
        <v>100875</v>
      </c>
      <c r="D374" s="4">
        <f t="shared" si="30"/>
        <v>130962</v>
      </c>
      <c r="F374" s="5">
        <f t="shared" si="32"/>
        <v>-3.6547278888965362E-4</v>
      </c>
      <c r="G374" s="5">
        <f t="shared" si="33"/>
        <v>8.6390497045325532E-3</v>
      </c>
    </row>
    <row r="375" spans="1:7" x14ac:dyDescent="0.25">
      <c r="A375" s="1">
        <f t="shared" si="31"/>
        <v>43839</v>
      </c>
      <c r="B375">
        <v>30075</v>
      </c>
      <c r="C375">
        <v>100527</v>
      </c>
      <c r="D375" s="4">
        <f t="shared" si="30"/>
        <v>130602</v>
      </c>
      <c r="F375" s="5">
        <f t="shared" si="32"/>
        <v>7.6534007719941677E-4</v>
      </c>
      <c r="G375" s="5">
        <f t="shared" si="33"/>
        <v>-1.0533324058707993E-3</v>
      </c>
    </row>
    <row r="376" spans="1:7" x14ac:dyDescent="0.25">
      <c r="A376" s="1">
        <f t="shared" si="31"/>
        <v>43840</v>
      </c>
      <c r="B376">
        <v>30052</v>
      </c>
      <c r="C376">
        <v>100660</v>
      </c>
      <c r="D376" s="4">
        <f t="shared" si="30"/>
        <v>130712</v>
      </c>
      <c r="F376" s="5">
        <f t="shared" si="32"/>
        <v>4.9938409295191555E-4</v>
      </c>
      <c r="G376" s="5">
        <f t="shared" si="33"/>
        <v>-1.8246003728531468E-3</v>
      </c>
    </row>
    <row r="377" spans="1:7" x14ac:dyDescent="0.25">
      <c r="A377" s="1">
        <f t="shared" si="31"/>
        <v>43841</v>
      </c>
      <c r="B377">
        <v>30056</v>
      </c>
      <c r="C377">
        <v>100493</v>
      </c>
      <c r="D377" s="4">
        <f t="shared" si="30"/>
        <v>130549</v>
      </c>
      <c r="F377" s="5">
        <f t="shared" si="32"/>
        <v>4.993175992809018E-4</v>
      </c>
      <c r="G377" s="5">
        <f t="shared" si="33"/>
        <v>-1.8871110316538431E-3</v>
      </c>
    </row>
    <row r="378" spans="1:7" x14ac:dyDescent="0.25">
      <c r="A378" s="1">
        <f t="shared" si="31"/>
        <v>43842</v>
      </c>
      <c r="B378">
        <v>30082</v>
      </c>
      <c r="C378">
        <v>100910</v>
      </c>
      <c r="D378" s="4">
        <f t="shared" si="30"/>
        <v>130992</v>
      </c>
      <c r="F378" s="5">
        <f t="shared" si="32"/>
        <v>2.4994168027461239E-3</v>
      </c>
      <c r="G378" s="5">
        <f t="shared" si="33"/>
        <v>5.6405963485608446E-3</v>
      </c>
    </row>
    <row r="379" spans="1:7" x14ac:dyDescent="0.25">
      <c r="A379" s="1">
        <f t="shared" si="31"/>
        <v>43843</v>
      </c>
      <c r="B379">
        <v>30071</v>
      </c>
      <c r="C379">
        <v>100074</v>
      </c>
      <c r="D379" s="4">
        <f t="shared" si="30"/>
        <v>130145</v>
      </c>
      <c r="F379" s="5">
        <f t="shared" si="32"/>
        <v>6.988352745425086E-4</v>
      </c>
      <c r="G379" s="5">
        <f t="shared" si="33"/>
        <v>-5.6141257365435182E-3</v>
      </c>
    </row>
    <row r="380" spans="1:7" x14ac:dyDescent="0.25">
      <c r="A380" s="1">
        <f t="shared" si="31"/>
        <v>43844</v>
      </c>
      <c r="B380">
        <v>30035</v>
      </c>
      <c r="C380">
        <v>100927</v>
      </c>
      <c r="D380" s="4">
        <f t="shared" si="30"/>
        <v>130962</v>
      </c>
      <c r="F380" s="5">
        <f t="shared" si="32"/>
        <v>-7.9842975481547729E-4</v>
      </c>
      <c r="G380" s="5">
        <f t="shared" si="33"/>
        <v>5.0087628455348643E-3</v>
      </c>
    </row>
    <row r="381" spans="1:7" x14ac:dyDescent="0.25">
      <c r="A381" s="1">
        <f t="shared" si="31"/>
        <v>43845</v>
      </c>
      <c r="B381">
        <v>30026</v>
      </c>
      <c r="C381">
        <v>100214</v>
      </c>
      <c r="D381" s="4">
        <f t="shared" si="30"/>
        <v>130240</v>
      </c>
      <c r="F381" s="5">
        <f t="shared" si="32"/>
        <v>-2.0274537175524188E-3</v>
      </c>
      <c r="G381" s="5">
        <f t="shared" si="33"/>
        <v>-6.5526641883518755E-3</v>
      </c>
    </row>
    <row r="382" spans="1:7" x14ac:dyDescent="0.25">
      <c r="A382" s="1">
        <f t="shared" si="31"/>
        <v>43846</v>
      </c>
      <c r="B382">
        <v>30060</v>
      </c>
      <c r="C382">
        <v>100919</v>
      </c>
      <c r="D382" s="4">
        <f t="shared" si="30"/>
        <v>130979</v>
      </c>
      <c r="F382" s="5">
        <f t="shared" si="32"/>
        <v>-4.9875311720692928E-4</v>
      </c>
      <c r="G382" s="5">
        <f t="shared" si="33"/>
        <v>3.8994498990321258E-3</v>
      </c>
    </row>
    <row r="383" spans="1:7" x14ac:dyDescent="0.25">
      <c r="A383" s="1">
        <f t="shared" si="31"/>
        <v>43847</v>
      </c>
      <c r="B383">
        <v>30074</v>
      </c>
      <c r="C383">
        <v>100506</v>
      </c>
      <c r="D383" s="4">
        <f t="shared" si="30"/>
        <v>130580</v>
      </c>
      <c r="F383" s="5">
        <f t="shared" si="32"/>
        <v>7.3206442166906527E-4</v>
      </c>
      <c r="G383" s="5">
        <f t="shared" si="33"/>
        <v>-1.5299026425591444E-3</v>
      </c>
    </row>
    <row r="384" spans="1:7" x14ac:dyDescent="0.25">
      <c r="A384" s="1">
        <f t="shared" si="31"/>
        <v>43848</v>
      </c>
      <c r="B384">
        <v>30034</v>
      </c>
      <c r="C384">
        <v>100025</v>
      </c>
      <c r="D384" s="4">
        <f t="shared" si="30"/>
        <v>130059</v>
      </c>
      <c r="F384" s="5">
        <f t="shared" si="32"/>
        <v>-7.3196699494282313E-4</v>
      </c>
      <c r="G384" s="5">
        <f t="shared" si="33"/>
        <v>-4.6570407889107157E-3</v>
      </c>
    </row>
    <row r="385" spans="1:7" x14ac:dyDescent="0.25">
      <c r="A385" s="1">
        <f t="shared" si="31"/>
        <v>43849</v>
      </c>
      <c r="B385">
        <v>30035</v>
      </c>
      <c r="C385">
        <v>100447</v>
      </c>
      <c r="D385" s="4">
        <f t="shared" si="30"/>
        <v>130482</v>
      </c>
      <c r="F385" s="5">
        <f t="shared" si="32"/>
        <v>-1.5623961172794854E-3</v>
      </c>
      <c r="G385" s="5">
        <f t="shared" si="33"/>
        <v>-4.5882469527301906E-3</v>
      </c>
    </row>
    <row r="386" spans="1:7" x14ac:dyDescent="0.25">
      <c r="A386" s="1">
        <f t="shared" si="31"/>
        <v>43850</v>
      </c>
      <c r="B386">
        <v>30097</v>
      </c>
      <c r="C386">
        <v>100454</v>
      </c>
      <c r="D386" s="4">
        <f t="shared" si="30"/>
        <v>130551</v>
      </c>
      <c r="F386" s="5">
        <f t="shared" si="32"/>
        <v>8.6462039839041438E-4</v>
      </c>
      <c r="G386" s="5">
        <f t="shared" si="33"/>
        <v>3.7971900793412061E-3</v>
      </c>
    </row>
    <row r="387" spans="1:7" x14ac:dyDescent="0.25">
      <c r="A387" s="1">
        <f t="shared" si="31"/>
        <v>43851</v>
      </c>
      <c r="B387">
        <v>30062</v>
      </c>
      <c r="C387">
        <v>100560</v>
      </c>
      <c r="D387" s="4">
        <f t="shared" ref="D387:D450" si="34">SUM(B387:C387)</f>
        <v>130622</v>
      </c>
      <c r="F387" s="5">
        <f t="shared" si="32"/>
        <v>8.9895122357241952E-4</v>
      </c>
      <c r="G387" s="5">
        <f t="shared" si="33"/>
        <v>-3.6362915770804527E-3</v>
      </c>
    </row>
    <row r="388" spans="1:7" x14ac:dyDescent="0.25">
      <c r="A388" s="1">
        <f t="shared" ref="A388:A451" si="35">A387+1</f>
        <v>43852</v>
      </c>
      <c r="B388">
        <v>30083</v>
      </c>
      <c r="C388">
        <v>100412</v>
      </c>
      <c r="D388" s="4">
        <f t="shared" si="34"/>
        <v>130495</v>
      </c>
      <c r="F388" s="5">
        <f t="shared" si="32"/>
        <v>1.8983547592086314E-3</v>
      </c>
      <c r="G388" s="5">
        <f t="shared" si="33"/>
        <v>1.9757718482447117E-3</v>
      </c>
    </row>
    <row r="389" spans="1:7" x14ac:dyDescent="0.25">
      <c r="A389" s="1">
        <f t="shared" si="35"/>
        <v>43853</v>
      </c>
      <c r="B389">
        <v>30038</v>
      </c>
      <c r="C389">
        <v>100925</v>
      </c>
      <c r="D389" s="4">
        <f t="shared" si="34"/>
        <v>130963</v>
      </c>
      <c r="F389" s="5">
        <f t="shared" si="32"/>
        <v>-7.3186959414506259E-4</v>
      </c>
      <c r="G389" s="5">
        <f t="shared" si="33"/>
        <v>5.9453621221061681E-5</v>
      </c>
    </row>
    <row r="390" spans="1:7" x14ac:dyDescent="0.25">
      <c r="A390" s="1">
        <f t="shared" si="35"/>
        <v>43854</v>
      </c>
      <c r="B390">
        <v>30053</v>
      </c>
      <c r="C390">
        <v>100481</v>
      </c>
      <c r="D390" s="4">
        <f t="shared" si="34"/>
        <v>130534</v>
      </c>
      <c r="F390" s="5">
        <f t="shared" si="32"/>
        <v>-6.9827758196450151E-4</v>
      </c>
      <c r="G390" s="5">
        <f t="shared" si="33"/>
        <v>-2.487413686744766E-4</v>
      </c>
    </row>
    <row r="391" spans="1:7" x14ac:dyDescent="0.25">
      <c r="A391" s="1">
        <f t="shared" si="35"/>
        <v>43855</v>
      </c>
      <c r="B391">
        <v>30020</v>
      </c>
      <c r="C391">
        <v>100113</v>
      </c>
      <c r="D391" s="4">
        <f t="shared" si="34"/>
        <v>130133</v>
      </c>
      <c r="F391" s="5">
        <f t="shared" si="32"/>
        <v>-4.6613837650666401E-4</v>
      </c>
      <c r="G391" s="5">
        <f t="shared" si="33"/>
        <v>8.7978005498623446E-4</v>
      </c>
    </row>
    <row r="392" spans="1:7" x14ac:dyDescent="0.25">
      <c r="A392" s="1">
        <f t="shared" si="35"/>
        <v>43856</v>
      </c>
      <c r="B392">
        <v>30084</v>
      </c>
      <c r="C392">
        <v>100022</v>
      </c>
      <c r="D392" s="4">
        <f t="shared" si="34"/>
        <v>130106</v>
      </c>
      <c r="F392" s="5">
        <f t="shared" si="32"/>
        <v>1.6314299983353209E-3</v>
      </c>
      <c r="G392" s="5">
        <f t="shared" si="33"/>
        <v>-4.2310870409270063E-3</v>
      </c>
    </row>
    <row r="393" spans="1:7" x14ac:dyDescent="0.25">
      <c r="A393" s="1">
        <f t="shared" si="35"/>
        <v>43857</v>
      </c>
      <c r="B393">
        <v>30073</v>
      </c>
      <c r="C393">
        <v>100409</v>
      </c>
      <c r="D393" s="4">
        <f t="shared" si="34"/>
        <v>130482</v>
      </c>
      <c r="F393" s="5">
        <f t="shared" si="32"/>
        <v>-7.9742166993390651E-4</v>
      </c>
      <c r="G393" s="5">
        <f t="shared" si="33"/>
        <v>-4.4796623330078944E-4</v>
      </c>
    </row>
    <row r="394" spans="1:7" x14ac:dyDescent="0.25">
      <c r="A394" s="1">
        <f t="shared" si="35"/>
        <v>43858</v>
      </c>
      <c r="B394">
        <v>30031</v>
      </c>
      <c r="C394">
        <v>100990</v>
      </c>
      <c r="D394" s="4">
        <f t="shared" si="34"/>
        <v>131021</v>
      </c>
      <c r="F394" s="5">
        <f t="shared" si="32"/>
        <v>-1.0312021821569095E-3</v>
      </c>
      <c r="G394" s="5">
        <f t="shared" si="33"/>
        <v>4.2760540970565586E-3</v>
      </c>
    </row>
    <row r="395" spans="1:7" x14ac:dyDescent="0.25">
      <c r="A395" s="1">
        <f t="shared" si="35"/>
        <v>43859</v>
      </c>
      <c r="B395">
        <v>30006</v>
      </c>
      <c r="C395">
        <v>100839</v>
      </c>
      <c r="D395" s="4">
        <f t="shared" si="34"/>
        <v>130845</v>
      </c>
      <c r="F395" s="5">
        <f t="shared" si="32"/>
        <v>-2.5595851477578924E-3</v>
      </c>
      <c r="G395" s="5">
        <f t="shared" si="33"/>
        <v>4.2524797832927952E-3</v>
      </c>
    </row>
    <row r="396" spans="1:7" x14ac:dyDescent="0.25">
      <c r="A396" s="1">
        <f t="shared" si="35"/>
        <v>43860</v>
      </c>
      <c r="B396">
        <v>30019</v>
      </c>
      <c r="C396">
        <v>100222</v>
      </c>
      <c r="D396" s="4">
        <f t="shared" si="34"/>
        <v>130241</v>
      </c>
      <c r="F396" s="5">
        <f t="shared" si="32"/>
        <v>-6.3253212597380593E-4</v>
      </c>
      <c r="G396" s="5">
        <f t="shared" si="33"/>
        <v>-6.9655684914540217E-3</v>
      </c>
    </row>
    <row r="397" spans="1:7" x14ac:dyDescent="0.25">
      <c r="A397" s="1">
        <f t="shared" si="35"/>
        <v>43861</v>
      </c>
      <c r="B397">
        <v>30064</v>
      </c>
      <c r="C397">
        <v>100694</v>
      </c>
      <c r="D397" s="4">
        <f t="shared" si="34"/>
        <v>130758</v>
      </c>
      <c r="F397" s="5">
        <f t="shared" si="32"/>
        <v>3.6602003127805816E-4</v>
      </c>
      <c r="G397" s="5">
        <f t="shared" si="33"/>
        <v>2.1198037439913442E-3</v>
      </c>
    </row>
    <row r="398" spans="1:7" x14ac:dyDescent="0.25">
      <c r="A398" s="1">
        <f t="shared" si="35"/>
        <v>43862</v>
      </c>
      <c r="B398">
        <v>30049</v>
      </c>
      <c r="C398">
        <v>100325</v>
      </c>
      <c r="D398" s="4">
        <f t="shared" si="34"/>
        <v>130374</v>
      </c>
      <c r="F398" s="5">
        <f t="shared" si="32"/>
        <v>9.6602265156553457E-4</v>
      </c>
      <c r="G398" s="5">
        <f t="shared" si="33"/>
        <v>2.1176071039725741E-3</v>
      </c>
    </row>
    <row r="399" spans="1:7" x14ac:dyDescent="0.25">
      <c r="A399" s="1">
        <f t="shared" si="35"/>
        <v>43863</v>
      </c>
      <c r="B399">
        <v>30018</v>
      </c>
      <c r="C399">
        <v>100090</v>
      </c>
      <c r="D399" s="4">
        <f t="shared" si="34"/>
        <v>130108</v>
      </c>
      <c r="F399" s="5">
        <f t="shared" si="32"/>
        <v>-2.1938571998404433E-3</v>
      </c>
      <c r="G399" s="5">
        <f t="shared" si="33"/>
        <v>6.7985043290486047E-4</v>
      </c>
    </row>
    <row r="400" spans="1:7" x14ac:dyDescent="0.25">
      <c r="A400" s="1">
        <f t="shared" si="35"/>
        <v>43864</v>
      </c>
      <c r="B400">
        <v>30075</v>
      </c>
      <c r="C400">
        <v>100061</v>
      </c>
      <c r="D400" s="4">
        <f t="shared" si="34"/>
        <v>130136</v>
      </c>
      <c r="F400" s="5">
        <f t="shared" si="32"/>
        <v>6.6504838226899565E-5</v>
      </c>
      <c r="G400" s="5">
        <f t="shared" si="33"/>
        <v>-3.465824776663462E-3</v>
      </c>
    </row>
    <row r="401" spans="1:7" x14ac:dyDescent="0.25">
      <c r="A401" s="1">
        <f t="shared" si="35"/>
        <v>43865</v>
      </c>
      <c r="B401">
        <v>30008</v>
      </c>
      <c r="C401">
        <v>100779</v>
      </c>
      <c r="D401" s="4">
        <f t="shared" si="34"/>
        <v>130787</v>
      </c>
      <c r="F401" s="5">
        <f t="shared" si="32"/>
        <v>-7.6587526222904323E-4</v>
      </c>
      <c r="G401" s="5">
        <f t="shared" si="33"/>
        <v>-2.0893157738389734E-3</v>
      </c>
    </row>
    <row r="402" spans="1:7" x14ac:dyDescent="0.25">
      <c r="A402" s="1">
        <f t="shared" si="35"/>
        <v>43866</v>
      </c>
      <c r="B402">
        <v>30033</v>
      </c>
      <c r="C402">
        <v>100292</v>
      </c>
      <c r="D402" s="4">
        <f t="shared" si="34"/>
        <v>130325</v>
      </c>
      <c r="F402" s="5">
        <f t="shared" si="32"/>
        <v>8.9982003599287097E-4</v>
      </c>
      <c r="G402" s="5">
        <f t="shared" si="33"/>
        <v>-5.4244885411398602E-3</v>
      </c>
    </row>
    <row r="403" spans="1:7" x14ac:dyDescent="0.25">
      <c r="A403" s="1">
        <f t="shared" si="35"/>
        <v>43867</v>
      </c>
      <c r="B403">
        <v>30019</v>
      </c>
      <c r="C403">
        <v>100146</v>
      </c>
      <c r="D403" s="4">
        <f t="shared" si="34"/>
        <v>130165</v>
      </c>
      <c r="F403" s="5">
        <f t="shared" si="32"/>
        <v>0</v>
      </c>
      <c r="G403" s="5">
        <f t="shared" si="33"/>
        <v>-7.5831653728719584E-4</v>
      </c>
    </row>
    <row r="404" spans="1:7" x14ac:dyDescent="0.25">
      <c r="A404" s="1">
        <f t="shared" si="35"/>
        <v>43868</v>
      </c>
      <c r="B404">
        <v>30070</v>
      </c>
      <c r="C404">
        <v>100261</v>
      </c>
      <c r="D404" s="4">
        <f t="shared" si="34"/>
        <v>130331</v>
      </c>
      <c r="F404" s="5">
        <f t="shared" ref="F404:F467" si="36">(B404/B397)-1</f>
        <v>1.9957424161787252E-4</v>
      </c>
      <c r="G404" s="5">
        <f t="shared" ref="G404:G467" si="37">(C404/C397)-1</f>
        <v>-4.3001569110373561E-3</v>
      </c>
    </row>
    <row r="405" spans="1:7" x14ac:dyDescent="0.25">
      <c r="A405" s="1">
        <f t="shared" si="35"/>
        <v>43869</v>
      </c>
      <c r="B405">
        <v>30042</v>
      </c>
      <c r="C405">
        <v>100359</v>
      </c>
      <c r="D405" s="4">
        <f t="shared" si="34"/>
        <v>130401</v>
      </c>
      <c r="F405" s="5">
        <f t="shared" si="36"/>
        <v>-2.3295284368862745E-4</v>
      </c>
      <c r="G405" s="5">
        <f t="shared" si="37"/>
        <v>3.3889857961622027E-4</v>
      </c>
    </row>
    <row r="406" spans="1:7" x14ac:dyDescent="0.25">
      <c r="A406" s="1">
        <f t="shared" si="35"/>
        <v>43870</v>
      </c>
      <c r="B406">
        <v>30032</v>
      </c>
      <c r="C406">
        <v>100540</v>
      </c>
      <c r="D406" s="4">
        <f t="shared" si="34"/>
        <v>130572</v>
      </c>
      <c r="F406" s="5">
        <f t="shared" si="36"/>
        <v>4.6638683456601271E-4</v>
      </c>
      <c r="G406" s="5">
        <f t="shared" si="37"/>
        <v>4.4959536417223944E-3</v>
      </c>
    </row>
    <row r="407" spans="1:7" x14ac:dyDescent="0.25">
      <c r="A407" s="1">
        <f t="shared" si="35"/>
        <v>43871</v>
      </c>
      <c r="B407">
        <v>30044</v>
      </c>
      <c r="C407">
        <v>100234</v>
      </c>
      <c r="D407" s="4">
        <f t="shared" si="34"/>
        <v>130278</v>
      </c>
      <c r="F407" s="5">
        <f t="shared" si="36"/>
        <v>-1.0307564422277204E-3</v>
      </c>
      <c r="G407" s="5">
        <f t="shared" si="37"/>
        <v>1.728945343340671E-3</v>
      </c>
    </row>
    <row r="408" spans="1:7" x14ac:dyDescent="0.25">
      <c r="A408" s="1">
        <f t="shared" si="35"/>
        <v>43872</v>
      </c>
      <c r="B408">
        <v>30073</v>
      </c>
      <c r="C408">
        <v>100410</v>
      </c>
      <c r="D408" s="4">
        <f t="shared" si="34"/>
        <v>130483</v>
      </c>
      <c r="F408" s="5">
        <f t="shared" si="36"/>
        <v>2.1660890429218149E-3</v>
      </c>
      <c r="G408" s="5">
        <f t="shared" si="37"/>
        <v>-3.6614770934421115E-3</v>
      </c>
    </row>
    <row r="409" spans="1:7" x14ac:dyDescent="0.25">
      <c r="A409" s="1">
        <f t="shared" si="35"/>
        <v>43873</v>
      </c>
      <c r="B409">
        <v>30039</v>
      </c>
      <c r="C409">
        <v>100109</v>
      </c>
      <c r="D409" s="4">
        <f t="shared" si="34"/>
        <v>130148</v>
      </c>
      <c r="F409" s="5">
        <f t="shared" si="36"/>
        <v>1.9978024173417097E-4</v>
      </c>
      <c r="G409" s="5">
        <f t="shared" si="37"/>
        <v>-1.8246719578829396E-3</v>
      </c>
    </row>
    <row r="410" spans="1:7" x14ac:dyDescent="0.25">
      <c r="A410" s="1">
        <f t="shared" si="35"/>
        <v>43874</v>
      </c>
      <c r="B410">
        <v>30090</v>
      </c>
      <c r="C410">
        <v>100102</v>
      </c>
      <c r="D410" s="4">
        <f t="shared" si="34"/>
        <v>130192</v>
      </c>
      <c r="F410" s="5">
        <f t="shared" si="36"/>
        <v>2.365168726473188E-3</v>
      </c>
      <c r="G410" s="5">
        <f t="shared" si="37"/>
        <v>-4.3935853653664925E-4</v>
      </c>
    </row>
    <row r="411" spans="1:7" x14ac:dyDescent="0.25">
      <c r="A411" s="1">
        <f t="shared" si="35"/>
        <v>43875</v>
      </c>
      <c r="B411">
        <v>30043</v>
      </c>
      <c r="C411">
        <v>100877</v>
      </c>
      <c r="D411" s="4">
        <f t="shared" si="34"/>
        <v>130920</v>
      </c>
      <c r="F411" s="5">
        <f t="shared" si="36"/>
        <v>-8.9790488859331496E-4</v>
      </c>
      <c r="G411" s="5">
        <f t="shared" si="37"/>
        <v>6.1439642532989946E-3</v>
      </c>
    </row>
    <row r="412" spans="1:7" x14ac:dyDescent="0.25">
      <c r="A412" s="1">
        <f t="shared" si="35"/>
        <v>43876</v>
      </c>
      <c r="B412">
        <v>30086</v>
      </c>
      <c r="C412">
        <v>100864</v>
      </c>
      <c r="D412" s="4">
        <f t="shared" si="34"/>
        <v>130950</v>
      </c>
      <c r="F412" s="5">
        <f t="shared" si="36"/>
        <v>1.4646162039810839E-3</v>
      </c>
      <c r="G412" s="5">
        <f t="shared" si="37"/>
        <v>5.0319353520860144E-3</v>
      </c>
    </row>
    <row r="413" spans="1:7" x14ac:dyDescent="0.25">
      <c r="A413" s="1">
        <f t="shared" si="35"/>
        <v>43877</v>
      </c>
      <c r="B413">
        <v>30063</v>
      </c>
      <c r="C413">
        <v>100103</v>
      </c>
      <c r="D413" s="4">
        <f t="shared" si="34"/>
        <v>130166</v>
      </c>
      <c r="F413" s="5">
        <f t="shared" si="36"/>
        <v>1.0322322855620403E-3</v>
      </c>
      <c r="G413" s="5">
        <f t="shared" si="37"/>
        <v>-4.3465287447781442E-3</v>
      </c>
    </row>
    <row r="414" spans="1:7" x14ac:dyDescent="0.25">
      <c r="A414" s="1">
        <f t="shared" si="35"/>
        <v>43878</v>
      </c>
      <c r="B414">
        <v>30085</v>
      </c>
      <c r="C414">
        <v>100902</v>
      </c>
      <c r="D414" s="4">
        <f t="shared" si="34"/>
        <v>130987</v>
      </c>
      <c r="F414" s="5">
        <f t="shared" si="36"/>
        <v>1.3646651577685631E-3</v>
      </c>
      <c r="G414" s="5">
        <f t="shared" si="37"/>
        <v>6.6644052916176033E-3</v>
      </c>
    </row>
    <row r="415" spans="1:7" x14ac:dyDescent="0.25">
      <c r="A415" s="1">
        <f t="shared" si="35"/>
        <v>43879</v>
      </c>
      <c r="B415">
        <v>30091</v>
      </c>
      <c r="C415">
        <v>100745</v>
      </c>
      <c r="D415" s="4">
        <f t="shared" si="34"/>
        <v>130836</v>
      </c>
      <c r="F415" s="5">
        <f t="shared" si="36"/>
        <v>5.9854354404276222E-4</v>
      </c>
      <c r="G415" s="5">
        <f t="shared" si="37"/>
        <v>3.3363210835575252E-3</v>
      </c>
    </row>
    <row r="416" spans="1:7" x14ac:dyDescent="0.25">
      <c r="A416" s="1">
        <f t="shared" si="35"/>
        <v>43880</v>
      </c>
      <c r="B416">
        <v>30064</v>
      </c>
      <c r="C416">
        <v>100666</v>
      </c>
      <c r="D416" s="4">
        <f t="shared" si="34"/>
        <v>130730</v>
      </c>
      <c r="F416" s="5">
        <f t="shared" si="36"/>
        <v>8.3225140650489138E-4</v>
      </c>
      <c r="G416" s="5">
        <f t="shared" si="37"/>
        <v>5.5639353105114697E-3</v>
      </c>
    </row>
    <row r="417" spans="1:7" x14ac:dyDescent="0.25">
      <c r="A417" s="1">
        <f t="shared" si="35"/>
        <v>43881</v>
      </c>
      <c r="B417">
        <v>30079</v>
      </c>
      <c r="C417">
        <v>100879</v>
      </c>
      <c r="D417" s="4">
        <f t="shared" si="34"/>
        <v>130958</v>
      </c>
      <c r="F417" s="5">
        <f t="shared" si="36"/>
        <v>-3.6556995679626336E-4</v>
      </c>
      <c r="G417" s="5">
        <f t="shared" si="37"/>
        <v>7.7620826756708006E-3</v>
      </c>
    </row>
    <row r="418" spans="1:7" x14ac:dyDescent="0.25">
      <c r="A418" s="1">
        <f t="shared" si="35"/>
        <v>43882</v>
      </c>
      <c r="B418">
        <v>30096</v>
      </c>
      <c r="C418">
        <v>100956</v>
      </c>
      <c r="D418" s="4">
        <f t="shared" si="34"/>
        <v>131052</v>
      </c>
      <c r="F418" s="5">
        <f t="shared" si="36"/>
        <v>1.764138068768073E-3</v>
      </c>
      <c r="G418" s="5">
        <f t="shared" si="37"/>
        <v>7.8313193294810013E-4</v>
      </c>
    </row>
    <row r="419" spans="1:7" x14ac:dyDescent="0.25">
      <c r="A419" s="1">
        <f t="shared" si="35"/>
        <v>43883</v>
      </c>
      <c r="B419">
        <v>30003</v>
      </c>
      <c r="C419">
        <v>100073</v>
      </c>
      <c r="D419" s="4">
        <f t="shared" si="34"/>
        <v>130076</v>
      </c>
      <c r="F419" s="5">
        <f t="shared" si="36"/>
        <v>-2.7587582264175792E-3</v>
      </c>
      <c r="G419" s="5">
        <f t="shared" si="37"/>
        <v>-7.8422430203045623E-3</v>
      </c>
    </row>
    <row r="420" spans="1:7" x14ac:dyDescent="0.25">
      <c r="A420" s="1">
        <f t="shared" si="35"/>
        <v>43884</v>
      </c>
      <c r="B420">
        <v>30001</v>
      </c>
      <c r="C420">
        <v>100903</v>
      </c>
      <c r="D420" s="4">
        <f t="shared" si="34"/>
        <v>130904</v>
      </c>
      <c r="F420" s="5">
        <f t="shared" si="36"/>
        <v>-2.0623357615673354E-3</v>
      </c>
      <c r="G420" s="5">
        <f t="shared" si="37"/>
        <v>7.991768478467165E-3</v>
      </c>
    </row>
    <row r="421" spans="1:7" x14ac:dyDescent="0.25">
      <c r="A421" s="1">
        <f t="shared" si="35"/>
        <v>43885</v>
      </c>
      <c r="B421">
        <v>30086</v>
      </c>
      <c r="C421">
        <v>100649</v>
      </c>
      <c r="D421" s="4">
        <f t="shared" si="34"/>
        <v>130735</v>
      </c>
      <c r="F421" s="5">
        <f t="shared" si="36"/>
        <v>3.3239155725395264E-5</v>
      </c>
      <c r="G421" s="5">
        <f t="shared" si="37"/>
        <v>-2.5073834017165231E-3</v>
      </c>
    </row>
    <row r="422" spans="1:7" x14ac:dyDescent="0.25">
      <c r="A422" s="1">
        <f t="shared" si="35"/>
        <v>43886</v>
      </c>
      <c r="B422">
        <v>30035</v>
      </c>
      <c r="C422">
        <v>100469</v>
      </c>
      <c r="D422" s="4">
        <f t="shared" si="34"/>
        <v>130504</v>
      </c>
      <c r="F422" s="5">
        <f t="shared" si="36"/>
        <v>-1.8610215679106812E-3</v>
      </c>
      <c r="G422" s="5">
        <f t="shared" si="37"/>
        <v>-2.7395900540969631E-3</v>
      </c>
    </row>
    <row r="423" spans="1:7" x14ac:dyDescent="0.25">
      <c r="A423" s="1">
        <f t="shared" si="35"/>
        <v>43887</v>
      </c>
      <c r="B423">
        <v>30081</v>
      </c>
      <c r="C423">
        <v>100360</v>
      </c>
      <c r="D423" s="4">
        <f t="shared" si="34"/>
        <v>130441</v>
      </c>
      <c r="F423" s="5">
        <f t="shared" si="36"/>
        <v>5.6546035125060179E-4</v>
      </c>
      <c r="G423" s="5">
        <f t="shared" si="37"/>
        <v>-3.0397552301670849E-3</v>
      </c>
    </row>
    <row r="424" spans="1:7" x14ac:dyDescent="0.25">
      <c r="A424" s="1">
        <f t="shared" si="35"/>
        <v>43888</v>
      </c>
      <c r="B424">
        <v>30040</v>
      </c>
      <c r="C424">
        <v>100896</v>
      </c>
      <c r="D424" s="4">
        <f t="shared" si="34"/>
        <v>130936</v>
      </c>
      <c r="F424" s="5">
        <f t="shared" si="36"/>
        <v>-1.2965856577679125E-3</v>
      </c>
      <c r="G424" s="5">
        <f t="shared" si="37"/>
        <v>1.6851872044720828E-4</v>
      </c>
    </row>
    <row r="425" spans="1:7" x14ac:dyDescent="0.25">
      <c r="A425" s="1">
        <f t="shared" si="35"/>
        <v>43889</v>
      </c>
      <c r="B425">
        <v>30054</v>
      </c>
      <c r="C425">
        <v>100912</v>
      </c>
      <c r="D425" s="4">
        <f t="shared" si="34"/>
        <v>130966</v>
      </c>
      <c r="F425" s="5">
        <f t="shared" si="36"/>
        <v>-1.395534290271172E-3</v>
      </c>
      <c r="G425" s="5">
        <f t="shared" si="37"/>
        <v>-4.3583343238640104E-4</v>
      </c>
    </row>
    <row r="426" spans="1:7" x14ac:dyDescent="0.25">
      <c r="A426" s="1">
        <f t="shared" si="35"/>
        <v>43890</v>
      </c>
      <c r="B426">
        <v>30068</v>
      </c>
      <c r="C426">
        <v>100143</v>
      </c>
      <c r="D426" s="4">
        <f t="shared" si="34"/>
        <v>130211</v>
      </c>
      <c r="F426" s="5">
        <f t="shared" si="36"/>
        <v>2.16645002166449E-3</v>
      </c>
      <c r="G426" s="5">
        <f t="shared" si="37"/>
        <v>6.994893727578777E-4</v>
      </c>
    </row>
    <row r="427" spans="1:7" x14ac:dyDescent="0.25">
      <c r="A427" s="1">
        <f t="shared" si="35"/>
        <v>43891</v>
      </c>
      <c r="B427">
        <v>30083</v>
      </c>
      <c r="C427">
        <v>100411</v>
      </c>
      <c r="D427" s="4">
        <f t="shared" si="34"/>
        <v>130494</v>
      </c>
      <c r="F427" s="5">
        <f t="shared" si="36"/>
        <v>2.7332422252590582E-3</v>
      </c>
      <c r="G427" s="5">
        <f t="shared" si="37"/>
        <v>-4.8759699909813881E-3</v>
      </c>
    </row>
    <row r="428" spans="1:7" x14ac:dyDescent="0.25">
      <c r="A428" s="1">
        <f t="shared" si="35"/>
        <v>43892</v>
      </c>
      <c r="B428">
        <v>30046</v>
      </c>
      <c r="C428">
        <v>100223</v>
      </c>
      <c r="D428" s="4">
        <f t="shared" si="34"/>
        <v>130269</v>
      </c>
      <c r="F428" s="5">
        <f t="shared" si="36"/>
        <v>-1.3295220368277905E-3</v>
      </c>
      <c r="G428" s="5">
        <f t="shared" si="37"/>
        <v>-4.2325308746237189E-3</v>
      </c>
    </row>
    <row r="429" spans="1:7" x14ac:dyDescent="0.25">
      <c r="A429" s="1">
        <f t="shared" si="35"/>
        <v>43893</v>
      </c>
      <c r="B429">
        <v>30072</v>
      </c>
      <c r="C429">
        <v>100927</v>
      </c>
      <c r="D429" s="4">
        <f t="shared" si="34"/>
        <v>130999</v>
      </c>
      <c r="F429" s="5">
        <f t="shared" si="36"/>
        <v>1.2318961211919E-3</v>
      </c>
      <c r="G429" s="5">
        <f t="shared" si="37"/>
        <v>4.5586200718630288E-3</v>
      </c>
    </row>
    <row r="430" spans="1:7" x14ac:dyDescent="0.25">
      <c r="A430" s="1">
        <f t="shared" si="35"/>
        <v>43894</v>
      </c>
      <c r="B430">
        <v>30081</v>
      </c>
      <c r="C430">
        <v>100512</v>
      </c>
      <c r="D430" s="4">
        <f t="shared" si="34"/>
        <v>130593</v>
      </c>
      <c r="F430" s="5">
        <f t="shared" si="36"/>
        <v>0</v>
      </c>
      <c r="G430" s="5">
        <f t="shared" si="37"/>
        <v>1.5145476285371995E-3</v>
      </c>
    </row>
    <row r="431" spans="1:7" x14ac:dyDescent="0.25">
      <c r="A431" s="1">
        <f t="shared" si="35"/>
        <v>43895</v>
      </c>
      <c r="B431">
        <v>30047</v>
      </c>
      <c r="C431">
        <v>100369</v>
      </c>
      <c r="D431" s="4">
        <f t="shared" si="34"/>
        <v>130416</v>
      </c>
      <c r="F431" s="5">
        <f t="shared" si="36"/>
        <v>2.3302263648461441E-4</v>
      </c>
      <c r="G431" s="5">
        <f t="shared" si="37"/>
        <v>-5.2232001268632811E-3</v>
      </c>
    </row>
    <row r="432" spans="1:7" x14ac:dyDescent="0.25">
      <c r="A432" s="1">
        <f t="shared" si="35"/>
        <v>43896</v>
      </c>
      <c r="B432">
        <v>30062</v>
      </c>
      <c r="C432">
        <v>100018</v>
      </c>
      <c r="D432" s="4">
        <f t="shared" si="34"/>
        <v>130080</v>
      </c>
      <c r="F432" s="5">
        <f t="shared" si="36"/>
        <v>2.6618752911433674E-4</v>
      </c>
      <c r="G432" s="5">
        <f t="shared" si="37"/>
        <v>-8.8592040589821064E-3</v>
      </c>
    </row>
    <row r="433" spans="1:7" x14ac:dyDescent="0.25">
      <c r="A433" s="1">
        <f t="shared" si="35"/>
        <v>43897</v>
      </c>
      <c r="B433">
        <v>30014</v>
      </c>
      <c r="C433">
        <v>100998</v>
      </c>
      <c r="D433" s="4">
        <f t="shared" si="34"/>
        <v>131012</v>
      </c>
      <c r="F433" s="5">
        <f t="shared" si="36"/>
        <v>-1.7959292270852689E-3</v>
      </c>
      <c r="G433" s="5">
        <f t="shared" si="37"/>
        <v>8.5377909589288148E-3</v>
      </c>
    </row>
    <row r="434" spans="1:7" x14ac:dyDescent="0.25">
      <c r="A434" s="1">
        <f t="shared" si="35"/>
        <v>43898</v>
      </c>
      <c r="B434">
        <v>30011</v>
      </c>
      <c r="C434">
        <v>100526</v>
      </c>
      <c r="D434" s="4">
        <f t="shared" si="34"/>
        <v>130537</v>
      </c>
      <c r="F434" s="5">
        <f t="shared" si="36"/>
        <v>-2.3933783199814318E-3</v>
      </c>
      <c r="G434" s="5">
        <f t="shared" si="37"/>
        <v>1.1452928464013024E-3</v>
      </c>
    </row>
    <row r="435" spans="1:7" x14ac:dyDescent="0.25">
      <c r="A435" s="1">
        <f t="shared" si="35"/>
        <v>43899</v>
      </c>
      <c r="B435">
        <v>30056</v>
      </c>
      <c r="C435">
        <v>100099</v>
      </c>
      <c r="D435" s="4">
        <f t="shared" si="34"/>
        <v>130155</v>
      </c>
      <c r="F435" s="5">
        <f t="shared" si="36"/>
        <v>3.3282300472614601E-4</v>
      </c>
      <c r="G435" s="5">
        <f t="shared" si="37"/>
        <v>-1.2372409526755224E-3</v>
      </c>
    </row>
    <row r="436" spans="1:7" x14ac:dyDescent="0.25">
      <c r="A436" s="1">
        <f t="shared" si="35"/>
        <v>43900</v>
      </c>
      <c r="B436">
        <v>30041</v>
      </c>
      <c r="C436">
        <v>100506</v>
      </c>
      <c r="D436" s="4">
        <f t="shared" si="34"/>
        <v>130547</v>
      </c>
      <c r="F436" s="5">
        <f t="shared" si="36"/>
        <v>-1.0308592710827069E-3</v>
      </c>
      <c r="G436" s="5">
        <f t="shared" si="37"/>
        <v>-4.1713317546345774E-3</v>
      </c>
    </row>
    <row r="437" spans="1:7" x14ac:dyDescent="0.25">
      <c r="A437" s="1">
        <f t="shared" si="35"/>
        <v>43901</v>
      </c>
      <c r="B437">
        <v>30058</v>
      </c>
      <c r="C437">
        <v>100984</v>
      </c>
      <c r="D437" s="4">
        <f t="shared" si="34"/>
        <v>131042</v>
      </c>
      <c r="F437" s="5">
        <f t="shared" si="36"/>
        <v>-7.6460224061702942E-4</v>
      </c>
      <c r="G437" s="5">
        <f t="shared" si="37"/>
        <v>4.6959567016873205E-3</v>
      </c>
    </row>
    <row r="438" spans="1:7" x14ac:dyDescent="0.25">
      <c r="A438" s="1">
        <f t="shared" si="35"/>
        <v>43902</v>
      </c>
      <c r="B438">
        <v>30087</v>
      </c>
      <c r="C438">
        <v>100266</v>
      </c>
      <c r="D438" s="4">
        <f t="shared" si="34"/>
        <v>130353</v>
      </c>
      <c r="F438" s="5">
        <f t="shared" si="36"/>
        <v>1.3312477119180599E-3</v>
      </c>
      <c r="G438" s="5">
        <f t="shared" si="37"/>
        <v>-1.0262132730225471E-3</v>
      </c>
    </row>
    <row r="439" spans="1:7" x14ac:dyDescent="0.25">
      <c r="A439" s="1">
        <f t="shared" si="35"/>
        <v>43903</v>
      </c>
      <c r="B439">
        <v>30046</v>
      </c>
      <c r="C439">
        <v>100147</v>
      </c>
      <c r="D439" s="4">
        <f t="shared" si="34"/>
        <v>130193</v>
      </c>
      <c r="F439" s="5">
        <f t="shared" si="36"/>
        <v>-5.3223338433905365E-4</v>
      </c>
      <c r="G439" s="5">
        <f t="shared" si="37"/>
        <v>1.2897678417884695E-3</v>
      </c>
    </row>
    <row r="440" spans="1:7" x14ac:dyDescent="0.25">
      <c r="A440" s="1">
        <f t="shared" si="35"/>
        <v>43904</v>
      </c>
      <c r="B440">
        <v>30040</v>
      </c>
      <c r="C440">
        <v>100210</v>
      </c>
      <c r="D440" s="4">
        <f t="shared" si="34"/>
        <v>130250</v>
      </c>
      <c r="F440" s="5">
        <f t="shared" si="36"/>
        <v>8.6626241087484068E-4</v>
      </c>
      <c r="G440" s="5">
        <f t="shared" si="37"/>
        <v>-7.8021346957365401E-3</v>
      </c>
    </row>
    <row r="441" spans="1:7" x14ac:dyDescent="0.25">
      <c r="A441" s="1">
        <f t="shared" si="35"/>
        <v>43905</v>
      </c>
      <c r="B441">
        <v>30098</v>
      </c>
      <c r="C441">
        <v>100093</v>
      </c>
      <c r="D441" s="4">
        <f t="shared" si="34"/>
        <v>130191</v>
      </c>
      <c r="F441" s="5">
        <f t="shared" si="36"/>
        <v>2.8989370564127537E-3</v>
      </c>
      <c r="G441" s="5">
        <f t="shared" si="37"/>
        <v>-4.3073433738535227E-3</v>
      </c>
    </row>
    <row r="442" spans="1:7" x14ac:dyDescent="0.25">
      <c r="A442" s="1">
        <f t="shared" si="35"/>
        <v>43906</v>
      </c>
      <c r="B442">
        <v>30072</v>
      </c>
      <c r="C442">
        <v>100850</v>
      </c>
      <c r="D442" s="4">
        <f t="shared" si="34"/>
        <v>130922</v>
      </c>
      <c r="F442" s="5">
        <f t="shared" si="36"/>
        <v>5.3233963268572992E-4</v>
      </c>
      <c r="G442" s="5">
        <f t="shared" si="37"/>
        <v>7.50257245327135E-3</v>
      </c>
    </row>
    <row r="443" spans="1:7" x14ac:dyDescent="0.25">
      <c r="A443" s="1">
        <f t="shared" si="35"/>
        <v>43907</v>
      </c>
      <c r="B443">
        <v>30053</v>
      </c>
      <c r="C443">
        <v>100612</v>
      </c>
      <c r="D443" s="4">
        <f t="shared" si="34"/>
        <v>130665</v>
      </c>
      <c r="F443" s="5">
        <f t="shared" si="36"/>
        <v>3.9945407942476585E-4</v>
      </c>
      <c r="G443" s="5">
        <f t="shared" si="37"/>
        <v>1.0546634031798341E-3</v>
      </c>
    </row>
    <row r="444" spans="1:7" x14ac:dyDescent="0.25">
      <c r="A444" s="1">
        <f t="shared" si="35"/>
        <v>43908</v>
      </c>
      <c r="B444">
        <v>30010</v>
      </c>
      <c r="C444">
        <v>100166</v>
      </c>
      <c r="D444" s="4">
        <f t="shared" si="34"/>
        <v>130176</v>
      </c>
      <c r="F444" s="5">
        <f t="shared" si="36"/>
        <v>-1.5969126355712682E-3</v>
      </c>
      <c r="G444" s="5">
        <f t="shared" si="37"/>
        <v>-8.1002931157411195E-3</v>
      </c>
    </row>
    <row r="445" spans="1:7" x14ac:dyDescent="0.25">
      <c r="A445" s="1">
        <f t="shared" si="35"/>
        <v>43909</v>
      </c>
      <c r="B445">
        <v>30065</v>
      </c>
      <c r="C445">
        <v>100988</v>
      </c>
      <c r="D445" s="4">
        <f t="shared" si="34"/>
        <v>131053</v>
      </c>
      <c r="F445" s="5">
        <f t="shared" si="36"/>
        <v>-7.3121281616650435E-4</v>
      </c>
      <c r="G445" s="5">
        <f t="shared" si="37"/>
        <v>7.2008457503041079E-3</v>
      </c>
    </row>
    <row r="446" spans="1:7" x14ac:dyDescent="0.25">
      <c r="A446" s="1">
        <f t="shared" si="35"/>
        <v>43910</v>
      </c>
      <c r="B446">
        <v>30039</v>
      </c>
      <c r="C446">
        <v>100988</v>
      </c>
      <c r="D446" s="4">
        <f t="shared" si="34"/>
        <v>131027</v>
      </c>
      <c r="F446" s="5">
        <f t="shared" si="36"/>
        <v>-2.3297610330830221E-4</v>
      </c>
      <c r="G446" s="5">
        <f t="shared" si="37"/>
        <v>8.3976554464937347E-3</v>
      </c>
    </row>
    <row r="447" spans="1:7" x14ac:dyDescent="0.25">
      <c r="A447" s="1">
        <f t="shared" si="35"/>
        <v>43911</v>
      </c>
      <c r="B447">
        <v>30093</v>
      </c>
      <c r="C447">
        <v>100414</v>
      </c>
      <c r="D447" s="4">
        <f t="shared" si="34"/>
        <v>130507</v>
      </c>
      <c r="F447" s="5">
        <f t="shared" si="36"/>
        <v>1.7643142476697626E-3</v>
      </c>
      <c r="G447" s="5">
        <f t="shared" si="37"/>
        <v>2.0357249775471153E-3</v>
      </c>
    </row>
    <row r="448" spans="1:7" x14ac:dyDescent="0.25">
      <c r="A448" s="1">
        <f t="shared" si="35"/>
        <v>43912</v>
      </c>
      <c r="B448">
        <v>30060</v>
      </c>
      <c r="C448">
        <v>100941</v>
      </c>
      <c r="D448" s="4">
        <f t="shared" si="34"/>
        <v>131001</v>
      </c>
      <c r="F448" s="5">
        <f t="shared" si="36"/>
        <v>-1.2625423616187126E-3</v>
      </c>
      <c r="G448" s="5">
        <f t="shared" si="37"/>
        <v>8.4721209275373521E-3</v>
      </c>
    </row>
    <row r="449" spans="1:7" x14ac:dyDescent="0.25">
      <c r="A449" s="1">
        <f t="shared" si="35"/>
        <v>43913</v>
      </c>
      <c r="B449">
        <v>30046</v>
      </c>
      <c r="C449">
        <v>100381</v>
      </c>
      <c r="D449" s="4">
        <f t="shared" si="34"/>
        <v>130427</v>
      </c>
      <c r="F449" s="5">
        <f t="shared" si="36"/>
        <v>-8.6459164671459643E-4</v>
      </c>
      <c r="G449" s="5">
        <f t="shared" si="37"/>
        <v>-4.6504709965294877E-3</v>
      </c>
    </row>
    <row r="450" spans="1:7" x14ac:dyDescent="0.25">
      <c r="A450" s="1">
        <f t="shared" si="35"/>
        <v>43914</v>
      </c>
      <c r="B450">
        <v>30069</v>
      </c>
      <c r="C450">
        <v>100697</v>
      </c>
      <c r="D450" s="4">
        <f t="shared" si="34"/>
        <v>130766</v>
      </c>
      <c r="F450" s="5">
        <f t="shared" si="36"/>
        <v>5.323927727680644E-4</v>
      </c>
      <c r="G450" s="5">
        <f t="shared" si="37"/>
        <v>8.4482964258736359E-4</v>
      </c>
    </row>
    <row r="451" spans="1:7" x14ac:dyDescent="0.25">
      <c r="A451" s="1">
        <f t="shared" si="35"/>
        <v>43915</v>
      </c>
      <c r="B451">
        <v>30090</v>
      </c>
      <c r="C451">
        <v>100602</v>
      </c>
      <c r="D451" s="4">
        <f t="shared" ref="D451:D514" si="38">SUM(B451:C451)</f>
        <v>130692</v>
      </c>
      <c r="F451" s="5">
        <f t="shared" si="36"/>
        <v>2.6657780739753889E-3</v>
      </c>
      <c r="G451" s="5">
        <f t="shared" si="37"/>
        <v>4.352774394505099E-3</v>
      </c>
    </row>
    <row r="452" spans="1:7" x14ac:dyDescent="0.25">
      <c r="A452" s="1">
        <f t="shared" ref="A452:A515" si="39">A451+1</f>
        <v>43916</v>
      </c>
      <c r="B452">
        <v>30055</v>
      </c>
      <c r="C452">
        <v>100034</v>
      </c>
      <c r="D452" s="4">
        <f t="shared" si="38"/>
        <v>130089</v>
      </c>
      <c r="F452" s="5">
        <f t="shared" si="36"/>
        <v>-3.3261267254280913E-4</v>
      </c>
      <c r="G452" s="5">
        <f t="shared" si="37"/>
        <v>-9.4466669307244899E-3</v>
      </c>
    </row>
    <row r="453" spans="1:7" x14ac:dyDescent="0.25">
      <c r="A453" s="1">
        <f t="shared" si="39"/>
        <v>43917</v>
      </c>
      <c r="B453">
        <v>30007</v>
      </c>
      <c r="C453">
        <v>100483</v>
      </c>
      <c r="D453" s="4">
        <f t="shared" si="38"/>
        <v>130490</v>
      </c>
      <c r="F453" s="5">
        <f t="shared" si="36"/>
        <v>-1.0652818003262787E-3</v>
      </c>
      <c r="G453" s="5">
        <f t="shared" si="37"/>
        <v>-5.0005941299956502E-3</v>
      </c>
    </row>
    <row r="454" spans="1:7" x14ac:dyDescent="0.25">
      <c r="A454" s="1">
        <f t="shared" si="39"/>
        <v>43918</v>
      </c>
      <c r="B454">
        <v>30001</v>
      </c>
      <c r="C454">
        <v>100489</v>
      </c>
      <c r="D454" s="4">
        <f t="shared" si="38"/>
        <v>130490</v>
      </c>
      <c r="F454" s="5">
        <f t="shared" si="36"/>
        <v>-3.0571893795899863E-3</v>
      </c>
      <c r="G454" s="5">
        <f t="shared" si="37"/>
        <v>7.4690780170105775E-4</v>
      </c>
    </row>
    <row r="455" spans="1:7" x14ac:dyDescent="0.25">
      <c r="A455" s="1">
        <f t="shared" si="39"/>
        <v>43919</v>
      </c>
      <c r="B455">
        <v>30089</v>
      </c>
      <c r="C455">
        <v>100947</v>
      </c>
      <c r="D455" s="4">
        <f t="shared" si="38"/>
        <v>131036</v>
      </c>
      <c r="F455" s="5">
        <f t="shared" si="36"/>
        <v>9.6473719228207244E-4</v>
      </c>
      <c r="G455" s="5">
        <f t="shared" si="37"/>
        <v>5.9440663357834822E-5</v>
      </c>
    </row>
    <row r="456" spans="1:7" x14ac:dyDescent="0.25">
      <c r="A456" s="1">
        <f t="shared" si="39"/>
        <v>43920</v>
      </c>
      <c r="B456">
        <v>30050</v>
      </c>
      <c r="C456">
        <v>100657</v>
      </c>
      <c r="D456" s="4">
        <f t="shared" si="38"/>
        <v>130707</v>
      </c>
      <c r="F456" s="5">
        <f t="shared" si="36"/>
        <v>1.331292018904584E-4</v>
      </c>
      <c r="G456" s="5">
        <f t="shared" si="37"/>
        <v>2.7495243123698554E-3</v>
      </c>
    </row>
    <row r="457" spans="1:7" x14ac:dyDescent="0.25">
      <c r="A457" s="1">
        <f t="shared" si="39"/>
        <v>43921</v>
      </c>
      <c r="B457">
        <v>30015</v>
      </c>
      <c r="C457">
        <v>100125</v>
      </c>
      <c r="D457" s="4">
        <f t="shared" si="38"/>
        <v>130140</v>
      </c>
      <c r="F457" s="5">
        <f t="shared" si="36"/>
        <v>-1.7958695001496494E-3</v>
      </c>
      <c r="G457" s="5">
        <f t="shared" si="37"/>
        <v>-5.680407559311651E-3</v>
      </c>
    </row>
    <row r="458" spans="1:7" x14ac:dyDescent="0.25">
      <c r="A458" s="1">
        <f t="shared" si="39"/>
        <v>43922</v>
      </c>
      <c r="B458">
        <v>30071</v>
      </c>
      <c r="C458">
        <v>100593</v>
      </c>
      <c r="D458" s="4">
        <f t="shared" si="38"/>
        <v>130664</v>
      </c>
      <c r="F458" s="5">
        <f t="shared" si="36"/>
        <v>-6.3143901628448518E-4</v>
      </c>
      <c r="G458" s="5">
        <f t="shared" si="37"/>
        <v>-8.9461442118410339E-5</v>
      </c>
    </row>
    <row r="459" spans="1:7" x14ac:dyDescent="0.25">
      <c r="A459" s="1">
        <f t="shared" si="39"/>
        <v>43923</v>
      </c>
      <c r="B459">
        <v>30077</v>
      </c>
      <c r="C459">
        <v>100318</v>
      </c>
      <c r="D459" s="4">
        <f t="shared" si="38"/>
        <v>130395</v>
      </c>
      <c r="F459" s="5">
        <f t="shared" si="36"/>
        <v>7.3199134919321729E-4</v>
      </c>
      <c r="G459" s="5">
        <f t="shared" si="37"/>
        <v>2.8390347281923578E-3</v>
      </c>
    </row>
    <row r="460" spans="1:7" x14ac:dyDescent="0.25">
      <c r="A460" s="1">
        <f t="shared" si="39"/>
        <v>43924</v>
      </c>
      <c r="B460">
        <v>30086</v>
      </c>
      <c r="C460">
        <v>100480</v>
      </c>
      <c r="D460" s="4">
        <f t="shared" si="38"/>
        <v>130566</v>
      </c>
      <c r="F460" s="5">
        <f t="shared" si="36"/>
        <v>2.6327190322257277E-3</v>
      </c>
      <c r="G460" s="5">
        <f t="shared" si="37"/>
        <v>-2.9855796502942233E-5</v>
      </c>
    </row>
    <row r="461" spans="1:7" x14ac:dyDescent="0.25">
      <c r="A461" s="1">
        <f t="shared" si="39"/>
        <v>43925</v>
      </c>
      <c r="B461">
        <v>30028</v>
      </c>
      <c r="C461">
        <v>100184</v>
      </c>
      <c r="D461" s="4">
        <f t="shared" si="38"/>
        <v>130212</v>
      </c>
      <c r="F461" s="5">
        <f t="shared" si="36"/>
        <v>8.9997000099995006E-4</v>
      </c>
      <c r="G461" s="5">
        <f t="shared" si="37"/>
        <v>-3.0351580770034969E-3</v>
      </c>
    </row>
    <row r="462" spans="1:7" x14ac:dyDescent="0.25">
      <c r="A462" s="1">
        <f t="shared" si="39"/>
        <v>43926</v>
      </c>
      <c r="B462">
        <v>30017</v>
      </c>
      <c r="C462">
        <v>100963</v>
      </c>
      <c r="D462" s="4">
        <f t="shared" si="38"/>
        <v>130980</v>
      </c>
      <c r="F462" s="5">
        <f t="shared" si="36"/>
        <v>-2.3929010601880796E-3</v>
      </c>
      <c r="G462" s="5">
        <f t="shared" si="37"/>
        <v>1.5849901433417912E-4</v>
      </c>
    </row>
    <row r="463" spans="1:7" x14ac:dyDescent="0.25">
      <c r="A463" s="1">
        <f t="shared" si="39"/>
        <v>43927</v>
      </c>
      <c r="B463">
        <v>30057</v>
      </c>
      <c r="C463">
        <v>100377</v>
      </c>
      <c r="D463" s="4">
        <f t="shared" si="38"/>
        <v>130434</v>
      </c>
      <c r="F463" s="5">
        <f t="shared" si="36"/>
        <v>2.3294509151416953E-4</v>
      </c>
      <c r="G463" s="5">
        <f t="shared" si="37"/>
        <v>-2.781724072841385E-3</v>
      </c>
    </row>
    <row r="464" spans="1:7" x14ac:dyDescent="0.25">
      <c r="A464" s="1">
        <f t="shared" si="39"/>
        <v>43928</v>
      </c>
      <c r="B464">
        <v>30086</v>
      </c>
      <c r="C464">
        <v>100521</v>
      </c>
      <c r="D464" s="4">
        <f t="shared" si="38"/>
        <v>130607</v>
      </c>
      <c r="F464" s="5">
        <f t="shared" si="36"/>
        <v>2.3654839247042592E-3</v>
      </c>
      <c r="G464" s="5">
        <f t="shared" si="37"/>
        <v>3.9550561797752071E-3</v>
      </c>
    </row>
    <row r="465" spans="1:7" x14ac:dyDescent="0.25">
      <c r="A465" s="1">
        <f t="shared" si="39"/>
        <v>43929</v>
      </c>
      <c r="B465">
        <v>30024</v>
      </c>
      <c r="C465">
        <v>100808</v>
      </c>
      <c r="D465" s="4">
        <f t="shared" si="38"/>
        <v>130832</v>
      </c>
      <c r="F465" s="5">
        <f t="shared" si="36"/>
        <v>-1.5629676432443729E-3</v>
      </c>
      <c r="G465" s="5">
        <f t="shared" si="37"/>
        <v>2.1373256588430589E-3</v>
      </c>
    </row>
    <row r="466" spans="1:7" x14ac:dyDescent="0.25">
      <c r="A466" s="1">
        <f t="shared" si="39"/>
        <v>43930</v>
      </c>
      <c r="B466">
        <v>30012</v>
      </c>
      <c r="C466">
        <v>100872</v>
      </c>
      <c r="D466" s="4">
        <f t="shared" si="38"/>
        <v>130884</v>
      </c>
      <c r="F466" s="5">
        <f t="shared" si="36"/>
        <v>-2.1611197925325287E-3</v>
      </c>
      <c r="G466" s="5">
        <f t="shared" si="37"/>
        <v>5.522438645108485E-3</v>
      </c>
    </row>
    <row r="467" spans="1:7" x14ac:dyDescent="0.25">
      <c r="A467" s="1">
        <f t="shared" si="39"/>
        <v>43931</v>
      </c>
      <c r="B467">
        <v>30030</v>
      </c>
      <c r="C467">
        <v>100673</v>
      </c>
      <c r="D467" s="4">
        <f t="shared" si="38"/>
        <v>130703</v>
      </c>
      <c r="F467" s="5">
        <f t="shared" si="36"/>
        <v>-1.8613308515588178E-3</v>
      </c>
      <c r="G467" s="5">
        <f t="shared" si="37"/>
        <v>1.9207802547771546E-3</v>
      </c>
    </row>
    <row r="468" spans="1:7" x14ac:dyDescent="0.25">
      <c r="A468" s="1">
        <f t="shared" si="39"/>
        <v>43932</v>
      </c>
      <c r="B468">
        <v>30096</v>
      </c>
      <c r="C468">
        <v>100963</v>
      </c>
      <c r="D468" s="4">
        <f t="shared" si="38"/>
        <v>131059</v>
      </c>
      <c r="F468" s="5">
        <f t="shared" ref="F468:F531" si="40">(B468/B461)-1</f>
        <v>2.2645530837883676E-3</v>
      </c>
      <c r="G468" s="5">
        <f t="shared" ref="G468:G531" si="41">(C468/C461)-1</f>
        <v>7.7756927253853636E-3</v>
      </c>
    </row>
    <row r="469" spans="1:7" x14ac:dyDescent="0.25">
      <c r="A469" s="1">
        <f t="shared" si="39"/>
        <v>43933</v>
      </c>
      <c r="B469">
        <v>30097</v>
      </c>
      <c r="C469">
        <v>100129</v>
      </c>
      <c r="D469" s="4">
        <f t="shared" si="38"/>
        <v>130226</v>
      </c>
      <c r="F469" s="5">
        <f t="shared" si="40"/>
        <v>2.6651564113668869E-3</v>
      </c>
      <c r="G469" s="5">
        <f t="shared" si="41"/>
        <v>-8.2604518486970591E-3</v>
      </c>
    </row>
    <row r="470" spans="1:7" x14ac:dyDescent="0.25">
      <c r="A470" s="1">
        <f t="shared" si="39"/>
        <v>43934</v>
      </c>
      <c r="B470">
        <v>30026</v>
      </c>
      <c r="C470">
        <v>100370</v>
      </c>
      <c r="D470" s="4">
        <f t="shared" si="38"/>
        <v>130396</v>
      </c>
      <c r="F470" s="5">
        <f t="shared" si="40"/>
        <v>-1.0313737232591214E-3</v>
      </c>
      <c r="G470" s="5">
        <f t="shared" si="41"/>
        <v>-6.9737091166310883E-5</v>
      </c>
    </row>
    <row r="471" spans="1:7" x14ac:dyDescent="0.25">
      <c r="A471" s="1">
        <f t="shared" si="39"/>
        <v>43935</v>
      </c>
      <c r="B471">
        <v>30037</v>
      </c>
      <c r="C471">
        <v>100694</v>
      </c>
      <c r="D471" s="4">
        <f t="shared" si="38"/>
        <v>130731</v>
      </c>
      <c r="F471" s="5">
        <f t="shared" si="40"/>
        <v>-1.6286644951140072E-3</v>
      </c>
      <c r="G471" s="5">
        <f t="shared" si="41"/>
        <v>1.7210334159032392E-3</v>
      </c>
    </row>
    <row r="472" spans="1:7" x14ac:dyDescent="0.25">
      <c r="A472" s="1">
        <f t="shared" si="39"/>
        <v>43936</v>
      </c>
      <c r="B472">
        <v>30086</v>
      </c>
      <c r="C472">
        <v>100636</v>
      </c>
      <c r="D472" s="4">
        <f t="shared" si="38"/>
        <v>130722</v>
      </c>
      <c r="F472" s="5">
        <f t="shared" si="40"/>
        <v>2.0650146549427983E-3</v>
      </c>
      <c r="G472" s="5">
        <f t="shared" si="41"/>
        <v>-1.7062137925561993E-3</v>
      </c>
    </row>
    <row r="473" spans="1:7" x14ac:dyDescent="0.25">
      <c r="A473" s="1">
        <f t="shared" si="39"/>
        <v>43937</v>
      </c>
      <c r="B473">
        <v>30080</v>
      </c>
      <c r="C473">
        <v>100654</v>
      </c>
      <c r="D473" s="4">
        <f t="shared" si="38"/>
        <v>130734</v>
      </c>
      <c r="F473" s="5">
        <f t="shared" si="40"/>
        <v>2.2657603625215739E-3</v>
      </c>
      <c r="G473" s="5">
        <f t="shared" si="41"/>
        <v>-2.1611547307478496E-3</v>
      </c>
    </row>
    <row r="474" spans="1:7" x14ac:dyDescent="0.25">
      <c r="A474" s="1">
        <f t="shared" si="39"/>
        <v>43938</v>
      </c>
      <c r="B474">
        <v>30026</v>
      </c>
      <c r="C474">
        <v>100150</v>
      </c>
      <c r="D474" s="4">
        <f t="shared" si="38"/>
        <v>130176</v>
      </c>
      <c r="F474" s="5">
        <f t="shared" si="40"/>
        <v>-1.332001332001731E-4</v>
      </c>
      <c r="G474" s="5">
        <f t="shared" si="41"/>
        <v>-5.1950373983093989E-3</v>
      </c>
    </row>
    <row r="475" spans="1:7" x14ac:dyDescent="0.25">
      <c r="A475" s="1">
        <f t="shared" si="39"/>
        <v>43939</v>
      </c>
      <c r="B475">
        <v>30059</v>
      </c>
      <c r="C475">
        <v>100118</v>
      </c>
      <c r="D475" s="4">
        <f t="shared" si="38"/>
        <v>130177</v>
      </c>
      <c r="F475" s="5">
        <f t="shared" si="40"/>
        <v>-1.2293992557150801E-3</v>
      </c>
      <c r="G475" s="5">
        <f t="shared" si="41"/>
        <v>-8.3694026524568921E-3</v>
      </c>
    </row>
    <row r="476" spans="1:7" x14ac:dyDescent="0.25">
      <c r="A476" s="1">
        <f t="shared" si="39"/>
        <v>43940</v>
      </c>
      <c r="B476">
        <v>30009</v>
      </c>
      <c r="C476">
        <v>100572</v>
      </c>
      <c r="D476" s="4">
        <f t="shared" si="38"/>
        <v>130581</v>
      </c>
      <c r="F476" s="5">
        <f t="shared" si="40"/>
        <v>-2.9238794564242498E-3</v>
      </c>
      <c r="G476" s="5">
        <f t="shared" si="41"/>
        <v>4.4242926624653567E-3</v>
      </c>
    </row>
    <row r="477" spans="1:7" x14ac:dyDescent="0.25">
      <c r="A477" s="1">
        <f t="shared" si="39"/>
        <v>43941</v>
      </c>
      <c r="B477">
        <v>30060</v>
      </c>
      <c r="C477">
        <v>100813</v>
      </c>
      <c r="D477" s="4">
        <f t="shared" si="38"/>
        <v>130873</v>
      </c>
      <c r="F477" s="5">
        <f t="shared" si="40"/>
        <v>1.1323519616333044E-3</v>
      </c>
      <c r="G477" s="5">
        <f t="shared" si="41"/>
        <v>4.4136694231344809E-3</v>
      </c>
    </row>
    <row r="478" spans="1:7" x14ac:dyDescent="0.25">
      <c r="A478" s="1">
        <f t="shared" si="39"/>
        <v>43942</v>
      </c>
      <c r="B478">
        <v>30073</v>
      </c>
      <c r="C478">
        <v>100078</v>
      </c>
      <c r="D478" s="4">
        <f t="shared" si="38"/>
        <v>130151</v>
      </c>
      <c r="F478" s="5">
        <f t="shared" si="40"/>
        <v>1.198521823084775E-3</v>
      </c>
      <c r="G478" s="5">
        <f t="shared" si="41"/>
        <v>-6.117544242953854E-3</v>
      </c>
    </row>
    <row r="479" spans="1:7" x14ac:dyDescent="0.25">
      <c r="A479" s="1">
        <f t="shared" si="39"/>
        <v>43943</v>
      </c>
      <c r="B479">
        <v>30094</v>
      </c>
      <c r="C479">
        <v>100716</v>
      </c>
      <c r="D479" s="4">
        <f t="shared" si="38"/>
        <v>130810</v>
      </c>
      <c r="F479" s="5">
        <f t="shared" si="40"/>
        <v>2.6590440736562471E-4</v>
      </c>
      <c r="G479" s="5">
        <f t="shared" si="41"/>
        <v>7.9494415517311623E-4</v>
      </c>
    </row>
    <row r="480" spans="1:7" x14ac:dyDescent="0.25">
      <c r="A480" s="1">
        <f t="shared" si="39"/>
        <v>43944</v>
      </c>
      <c r="B480">
        <v>30043</v>
      </c>
      <c r="C480">
        <v>100781</v>
      </c>
      <c r="D480" s="4">
        <f t="shared" si="38"/>
        <v>130824</v>
      </c>
      <c r="F480" s="5">
        <f t="shared" si="40"/>
        <v>-1.2300531914893886E-3</v>
      </c>
      <c r="G480" s="5">
        <f t="shared" si="41"/>
        <v>1.261748166987875E-3</v>
      </c>
    </row>
    <row r="481" spans="1:7" x14ac:dyDescent="0.25">
      <c r="A481" s="1">
        <f t="shared" si="39"/>
        <v>43945</v>
      </c>
      <c r="B481">
        <v>30021</v>
      </c>
      <c r="C481">
        <v>100141</v>
      </c>
      <c r="D481" s="4">
        <f t="shared" si="38"/>
        <v>130162</v>
      </c>
      <c r="F481" s="5">
        <f t="shared" si="40"/>
        <v>-1.6652234729896964E-4</v>
      </c>
      <c r="G481" s="5">
        <f t="shared" si="41"/>
        <v>-8.9865202196670602E-5</v>
      </c>
    </row>
    <row r="482" spans="1:7" x14ac:dyDescent="0.25">
      <c r="A482" s="1">
        <f t="shared" si="39"/>
        <v>43946</v>
      </c>
      <c r="B482">
        <v>30017</v>
      </c>
      <c r="C482">
        <v>100857</v>
      </c>
      <c r="D482" s="4">
        <f t="shared" si="38"/>
        <v>130874</v>
      </c>
      <c r="F482" s="5">
        <f t="shared" si="40"/>
        <v>-1.397252070927224E-3</v>
      </c>
      <c r="G482" s="5">
        <f t="shared" si="41"/>
        <v>7.3812900777083801E-3</v>
      </c>
    </row>
    <row r="483" spans="1:7" x14ac:dyDescent="0.25">
      <c r="A483" s="1">
        <f t="shared" si="39"/>
        <v>43947</v>
      </c>
      <c r="B483">
        <v>30075</v>
      </c>
      <c r="C483">
        <v>100488</v>
      </c>
      <c r="D483" s="4">
        <f t="shared" si="38"/>
        <v>130563</v>
      </c>
      <c r="F483" s="5">
        <f t="shared" si="40"/>
        <v>2.1993401979405469E-3</v>
      </c>
      <c r="G483" s="5">
        <f t="shared" si="41"/>
        <v>-8.352225271447411E-4</v>
      </c>
    </row>
    <row r="484" spans="1:7" x14ac:dyDescent="0.25">
      <c r="A484" s="1">
        <f t="shared" si="39"/>
        <v>43948</v>
      </c>
      <c r="B484">
        <v>30051</v>
      </c>
      <c r="C484">
        <v>100192</v>
      </c>
      <c r="D484" s="4">
        <f t="shared" si="38"/>
        <v>130243</v>
      </c>
      <c r="F484" s="5">
        <f t="shared" si="40"/>
        <v>-2.9940119760474282E-4</v>
      </c>
      <c r="G484" s="5">
        <f t="shared" si="41"/>
        <v>-6.1599198516064657E-3</v>
      </c>
    </row>
    <row r="485" spans="1:7" x14ac:dyDescent="0.25">
      <c r="A485" s="1">
        <f t="shared" si="39"/>
        <v>43949</v>
      </c>
      <c r="B485">
        <v>30092</v>
      </c>
      <c r="C485">
        <v>100246</v>
      </c>
      <c r="D485" s="4">
        <f t="shared" si="38"/>
        <v>130338</v>
      </c>
      <c r="F485" s="5">
        <f t="shared" si="40"/>
        <v>6.3179596315632303E-4</v>
      </c>
      <c r="G485" s="5">
        <f t="shared" si="41"/>
        <v>1.6786906213153152E-3</v>
      </c>
    </row>
    <row r="486" spans="1:7" x14ac:dyDescent="0.25">
      <c r="A486" s="1">
        <f t="shared" si="39"/>
        <v>43950</v>
      </c>
      <c r="B486">
        <v>30017</v>
      </c>
      <c r="C486">
        <v>100060</v>
      </c>
      <c r="D486" s="4">
        <f t="shared" si="38"/>
        <v>130077</v>
      </c>
      <c r="F486" s="5">
        <f t="shared" si="40"/>
        <v>-2.5586495646973129E-3</v>
      </c>
      <c r="G486" s="5">
        <f t="shared" si="41"/>
        <v>-6.5133643115294904E-3</v>
      </c>
    </row>
    <row r="487" spans="1:7" x14ac:dyDescent="0.25">
      <c r="A487" s="1">
        <f t="shared" si="39"/>
        <v>43951</v>
      </c>
      <c r="B487">
        <v>30074</v>
      </c>
      <c r="C487">
        <v>100920</v>
      </c>
      <c r="D487" s="4">
        <f t="shared" si="38"/>
        <v>130994</v>
      </c>
      <c r="F487" s="5">
        <f t="shared" si="40"/>
        <v>1.0318543421097282E-3</v>
      </c>
      <c r="G487" s="5">
        <f t="shared" si="41"/>
        <v>1.3792282275428835E-3</v>
      </c>
    </row>
    <row r="488" spans="1:7" x14ac:dyDescent="0.25">
      <c r="A488" s="1">
        <f t="shared" si="39"/>
        <v>43952</v>
      </c>
      <c r="B488">
        <v>30020</v>
      </c>
      <c r="C488">
        <v>100554</v>
      </c>
      <c r="D488" s="4">
        <f t="shared" si="38"/>
        <v>130574</v>
      </c>
      <c r="F488" s="5">
        <f t="shared" si="40"/>
        <v>-3.3310016321896896E-5</v>
      </c>
      <c r="G488" s="5">
        <f t="shared" si="41"/>
        <v>4.1241848992918939E-3</v>
      </c>
    </row>
    <row r="489" spans="1:7" x14ac:dyDescent="0.25">
      <c r="A489" s="1">
        <f t="shared" si="39"/>
        <v>43953</v>
      </c>
      <c r="B489">
        <v>30051</v>
      </c>
      <c r="C489">
        <v>100939</v>
      </c>
      <c r="D489" s="4">
        <f t="shared" si="38"/>
        <v>130990</v>
      </c>
      <c r="F489" s="5">
        <f t="shared" si="40"/>
        <v>1.1326914748308603E-3</v>
      </c>
      <c r="G489" s="5">
        <f t="shared" si="41"/>
        <v>8.1303231307683355E-4</v>
      </c>
    </row>
    <row r="490" spans="1:7" x14ac:dyDescent="0.25">
      <c r="A490" s="1">
        <f t="shared" si="39"/>
        <v>43954</v>
      </c>
      <c r="B490">
        <v>30066</v>
      </c>
      <c r="C490">
        <v>100617</v>
      </c>
      <c r="D490" s="4">
        <f t="shared" si="38"/>
        <v>130683</v>
      </c>
      <c r="F490" s="5">
        <f t="shared" si="40"/>
        <v>-2.9925187032420197E-4</v>
      </c>
      <c r="G490" s="5">
        <f t="shared" si="41"/>
        <v>1.2837353713877064E-3</v>
      </c>
    </row>
    <row r="491" spans="1:7" x14ac:dyDescent="0.25">
      <c r="A491" s="1">
        <f t="shared" si="39"/>
        <v>43955</v>
      </c>
      <c r="B491">
        <v>30036</v>
      </c>
      <c r="C491">
        <v>100423</v>
      </c>
      <c r="D491" s="4">
        <f t="shared" si="38"/>
        <v>130459</v>
      </c>
      <c r="F491" s="5">
        <f t="shared" si="40"/>
        <v>-4.9915144254764066E-4</v>
      </c>
      <c r="G491" s="5">
        <f t="shared" si="41"/>
        <v>2.3055732992653954E-3</v>
      </c>
    </row>
    <row r="492" spans="1:7" x14ac:dyDescent="0.25">
      <c r="A492" s="1">
        <f t="shared" si="39"/>
        <v>43956</v>
      </c>
      <c r="B492">
        <v>30005</v>
      </c>
      <c r="C492">
        <v>100777</v>
      </c>
      <c r="D492" s="4">
        <f t="shared" si="38"/>
        <v>130782</v>
      </c>
      <c r="F492" s="5">
        <f t="shared" si="40"/>
        <v>-2.8911338561743438E-3</v>
      </c>
      <c r="G492" s="5">
        <f t="shared" si="41"/>
        <v>5.2969694551403546E-3</v>
      </c>
    </row>
    <row r="493" spans="1:7" x14ac:dyDescent="0.25">
      <c r="A493" s="1">
        <f t="shared" si="39"/>
        <v>43957</v>
      </c>
      <c r="B493">
        <v>30013</v>
      </c>
      <c r="C493">
        <v>100464</v>
      </c>
      <c r="D493" s="4">
        <f t="shared" si="38"/>
        <v>130477</v>
      </c>
      <c r="F493" s="5">
        <f t="shared" si="40"/>
        <v>-1.3325782056838875E-4</v>
      </c>
      <c r="G493" s="5">
        <f t="shared" si="41"/>
        <v>4.0375774535279518E-3</v>
      </c>
    </row>
    <row r="494" spans="1:7" x14ac:dyDescent="0.25">
      <c r="A494" s="1">
        <f t="shared" si="39"/>
        <v>43958</v>
      </c>
      <c r="B494">
        <v>30094</v>
      </c>
      <c r="C494">
        <v>100019</v>
      </c>
      <c r="D494" s="4">
        <f t="shared" si="38"/>
        <v>130113</v>
      </c>
      <c r="F494" s="5">
        <f t="shared" si="40"/>
        <v>6.6502626853770508E-4</v>
      </c>
      <c r="G494" s="5">
        <f t="shared" si="41"/>
        <v>-8.9278636543796974E-3</v>
      </c>
    </row>
    <row r="495" spans="1:7" x14ac:dyDescent="0.25">
      <c r="A495" s="1">
        <f t="shared" si="39"/>
        <v>43959</v>
      </c>
      <c r="B495">
        <v>30035</v>
      </c>
      <c r="C495">
        <v>100918</v>
      </c>
      <c r="D495" s="4">
        <f t="shared" si="38"/>
        <v>130953</v>
      </c>
      <c r="F495" s="5">
        <f t="shared" si="40"/>
        <v>4.9966688874092391E-4</v>
      </c>
      <c r="G495" s="5">
        <f t="shared" si="41"/>
        <v>3.6199455019194637E-3</v>
      </c>
    </row>
    <row r="496" spans="1:7" x14ac:dyDescent="0.25">
      <c r="A496" s="1">
        <f t="shared" si="39"/>
        <v>43960</v>
      </c>
      <c r="B496">
        <v>30077</v>
      </c>
      <c r="C496">
        <v>100582</v>
      </c>
      <c r="D496" s="4">
        <f t="shared" si="38"/>
        <v>130659</v>
      </c>
      <c r="F496" s="5">
        <f t="shared" si="40"/>
        <v>8.6519583374933262E-4</v>
      </c>
      <c r="G496" s="5">
        <f t="shared" si="41"/>
        <v>-3.5367895461615451E-3</v>
      </c>
    </row>
    <row r="497" spans="1:7" x14ac:dyDescent="0.25">
      <c r="A497" s="1">
        <f t="shared" si="39"/>
        <v>43961</v>
      </c>
      <c r="B497">
        <v>30011</v>
      </c>
      <c r="C497">
        <v>100284</v>
      </c>
      <c r="D497" s="4">
        <f t="shared" si="38"/>
        <v>130295</v>
      </c>
      <c r="F497" s="5">
        <f t="shared" si="40"/>
        <v>-1.8293088538549052E-3</v>
      </c>
      <c r="G497" s="5">
        <f t="shared" si="41"/>
        <v>-3.3095798920659281E-3</v>
      </c>
    </row>
    <row r="498" spans="1:7" x14ac:dyDescent="0.25">
      <c r="A498" s="1">
        <f t="shared" si="39"/>
        <v>43962</v>
      </c>
      <c r="B498">
        <v>30050</v>
      </c>
      <c r="C498">
        <v>100588</v>
      </c>
      <c r="D498" s="4">
        <f t="shared" si="38"/>
        <v>130638</v>
      </c>
      <c r="F498" s="5">
        <f t="shared" si="40"/>
        <v>4.661073378613434E-4</v>
      </c>
      <c r="G498" s="5">
        <f t="shared" si="41"/>
        <v>1.6430498989274955E-3</v>
      </c>
    </row>
    <row r="499" spans="1:7" x14ac:dyDescent="0.25">
      <c r="A499" s="1">
        <f t="shared" si="39"/>
        <v>43963</v>
      </c>
      <c r="B499">
        <v>30052</v>
      </c>
      <c r="C499">
        <v>100918</v>
      </c>
      <c r="D499" s="4">
        <f t="shared" si="38"/>
        <v>130970</v>
      </c>
      <c r="F499" s="5">
        <f t="shared" si="40"/>
        <v>1.5664055990667336E-3</v>
      </c>
      <c r="G499" s="5">
        <f t="shared" si="41"/>
        <v>1.3991287694612442E-3</v>
      </c>
    </row>
    <row r="500" spans="1:7" x14ac:dyDescent="0.25">
      <c r="A500" s="1">
        <f t="shared" si="39"/>
        <v>43964</v>
      </c>
      <c r="B500">
        <v>30058</v>
      </c>
      <c r="C500">
        <v>100433</v>
      </c>
      <c r="D500" s="4">
        <f t="shared" si="38"/>
        <v>130491</v>
      </c>
      <c r="F500" s="5">
        <f t="shared" si="40"/>
        <v>1.4993502815445758E-3</v>
      </c>
      <c r="G500" s="5">
        <f t="shared" si="41"/>
        <v>-3.0856824335090405E-4</v>
      </c>
    </row>
    <row r="501" spans="1:7" x14ac:dyDescent="0.25">
      <c r="A501" s="1">
        <f t="shared" si="39"/>
        <v>43965</v>
      </c>
      <c r="B501">
        <v>30054</v>
      </c>
      <c r="C501">
        <v>100949</v>
      </c>
      <c r="D501" s="4">
        <f t="shared" si="38"/>
        <v>131003</v>
      </c>
      <c r="F501" s="5">
        <f t="shared" si="40"/>
        <v>-1.3291686050375118E-3</v>
      </c>
      <c r="G501" s="5">
        <f t="shared" si="41"/>
        <v>9.2982333356661506E-3</v>
      </c>
    </row>
    <row r="502" spans="1:7" x14ac:dyDescent="0.25">
      <c r="A502" s="1">
        <f t="shared" si="39"/>
        <v>43966</v>
      </c>
      <c r="B502">
        <v>30063</v>
      </c>
      <c r="C502">
        <v>100614</v>
      </c>
      <c r="D502" s="4">
        <f t="shared" si="38"/>
        <v>130677</v>
      </c>
      <c r="F502" s="5">
        <f t="shared" si="40"/>
        <v>9.3224571333450079E-4</v>
      </c>
      <c r="G502" s="5">
        <f t="shared" si="41"/>
        <v>-3.0123466576824631E-3</v>
      </c>
    </row>
    <row r="503" spans="1:7" x14ac:dyDescent="0.25">
      <c r="A503" s="1">
        <f t="shared" si="39"/>
        <v>43967</v>
      </c>
      <c r="B503">
        <v>30036</v>
      </c>
      <c r="C503">
        <v>100313</v>
      </c>
      <c r="D503" s="4">
        <f t="shared" si="38"/>
        <v>130349</v>
      </c>
      <c r="F503" s="5">
        <f t="shared" si="40"/>
        <v>-1.3631678691359284E-3</v>
      </c>
      <c r="G503" s="5">
        <f t="shared" si="41"/>
        <v>-2.6744347895250042E-3</v>
      </c>
    </row>
    <row r="504" spans="1:7" x14ac:dyDescent="0.25">
      <c r="A504" s="1">
        <f t="shared" si="39"/>
        <v>43968</v>
      </c>
      <c r="B504">
        <v>30073</v>
      </c>
      <c r="C504">
        <v>100037</v>
      </c>
      <c r="D504" s="4">
        <f t="shared" si="38"/>
        <v>130110</v>
      </c>
      <c r="F504" s="5">
        <f t="shared" si="40"/>
        <v>2.0659091666388463E-3</v>
      </c>
      <c r="G504" s="5">
        <f t="shared" si="41"/>
        <v>-2.4630050656136993E-3</v>
      </c>
    </row>
    <row r="505" spans="1:7" x14ac:dyDescent="0.25">
      <c r="A505" s="1">
        <f t="shared" si="39"/>
        <v>43969</v>
      </c>
      <c r="B505">
        <v>30056</v>
      </c>
      <c r="C505">
        <v>100408</v>
      </c>
      <c r="D505" s="4">
        <f t="shared" si="38"/>
        <v>130464</v>
      </c>
      <c r="F505" s="5">
        <f t="shared" si="40"/>
        <v>1.9966722129782788E-4</v>
      </c>
      <c r="G505" s="5">
        <f t="shared" si="41"/>
        <v>-1.7894778701236236E-3</v>
      </c>
    </row>
    <row r="506" spans="1:7" x14ac:dyDescent="0.25">
      <c r="A506" s="1">
        <f t="shared" si="39"/>
        <v>43970</v>
      </c>
      <c r="B506">
        <v>30047</v>
      </c>
      <c r="C506">
        <v>100581</v>
      </c>
      <c r="D506" s="4">
        <f t="shared" si="38"/>
        <v>130628</v>
      </c>
      <c r="F506" s="5">
        <f t="shared" si="40"/>
        <v>-1.6637827765209057E-4</v>
      </c>
      <c r="G506" s="5">
        <f t="shared" si="41"/>
        <v>-3.3393448146019633E-3</v>
      </c>
    </row>
    <row r="507" spans="1:7" x14ac:dyDescent="0.25">
      <c r="A507" s="1">
        <f t="shared" si="39"/>
        <v>43971</v>
      </c>
      <c r="B507">
        <v>30057</v>
      </c>
      <c r="C507">
        <v>100968</v>
      </c>
      <c r="D507" s="4">
        <f t="shared" si="38"/>
        <v>131025</v>
      </c>
      <c r="F507" s="5">
        <f t="shared" si="40"/>
        <v>-3.3269013241077339E-5</v>
      </c>
      <c r="G507" s="5">
        <f t="shared" si="41"/>
        <v>5.3269343741599862E-3</v>
      </c>
    </row>
    <row r="508" spans="1:7" x14ac:dyDescent="0.25">
      <c r="A508" s="1">
        <f t="shared" si="39"/>
        <v>43972</v>
      </c>
      <c r="B508">
        <v>30060</v>
      </c>
      <c r="C508">
        <v>100522</v>
      </c>
      <c r="D508" s="4">
        <f t="shared" si="38"/>
        <v>130582</v>
      </c>
      <c r="F508" s="5">
        <f t="shared" si="40"/>
        <v>1.9964064683564153E-4</v>
      </c>
      <c r="G508" s="5">
        <f t="shared" si="41"/>
        <v>-4.229858641492279E-3</v>
      </c>
    </row>
    <row r="509" spans="1:7" x14ac:dyDescent="0.25">
      <c r="A509" s="1">
        <f t="shared" si="39"/>
        <v>43973</v>
      </c>
      <c r="B509">
        <v>30092</v>
      </c>
      <c r="C509">
        <v>100991</v>
      </c>
      <c r="D509" s="4">
        <f t="shared" si="38"/>
        <v>131083</v>
      </c>
      <c r="F509" s="5">
        <f t="shared" si="40"/>
        <v>9.6464092073311747E-4</v>
      </c>
      <c r="G509" s="5">
        <f t="shared" si="41"/>
        <v>3.7469934601546129E-3</v>
      </c>
    </row>
    <row r="510" spans="1:7" x14ac:dyDescent="0.25">
      <c r="A510" s="1">
        <f t="shared" si="39"/>
        <v>43974</v>
      </c>
      <c r="B510">
        <v>30008</v>
      </c>
      <c r="C510">
        <v>100722</v>
      </c>
      <c r="D510" s="4">
        <f t="shared" si="38"/>
        <v>130730</v>
      </c>
      <c r="F510" s="5">
        <f t="shared" si="40"/>
        <v>-9.3221467572246475E-4</v>
      </c>
      <c r="G510" s="5">
        <f t="shared" si="41"/>
        <v>4.0772382442952892E-3</v>
      </c>
    </row>
    <row r="511" spans="1:7" x14ac:dyDescent="0.25">
      <c r="A511" s="1">
        <f t="shared" si="39"/>
        <v>43975</v>
      </c>
      <c r="B511">
        <v>30012</v>
      </c>
      <c r="C511">
        <v>100615</v>
      </c>
      <c r="D511" s="4">
        <f t="shared" si="38"/>
        <v>130627</v>
      </c>
      <c r="F511" s="5">
        <f t="shared" si="40"/>
        <v>-2.0283975659228792E-3</v>
      </c>
      <c r="G511" s="5">
        <f t="shared" si="41"/>
        <v>5.7778621909894134E-3</v>
      </c>
    </row>
    <row r="512" spans="1:7" x14ac:dyDescent="0.25">
      <c r="A512" s="1">
        <f t="shared" si="39"/>
        <v>43976</v>
      </c>
      <c r="B512">
        <v>30006</v>
      </c>
      <c r="C512">
        <v>100394</v>
      </c>
      <c r="D512" s="4">
        <f t="shared" si="38"/>
        <v>130400</v>
      </c>
      <c r="F512" s="5">
        <f t="shared" si="40"/>
        <v>-1.6635613521426285E-3</v>
      </c>
      <c r="G512" s="5">
        <f t="shared" si="41"/>
        <v>-1.3943112102621225E-4</v>
      </c>
    </row>
    <row r="513" spans="1:7" x14ac:dyDescent="0.25">
      <c r="A513" s="1">
        <f t="shared" si="39"/>
        <v>43977</v>
      </c>
      <c r="B513">
        <v>30059</v>
      </c>
      <c r="C513">
        <v>100854</v>
      </c>
      <c r="D513" s="4">
        <f t="shared" si="38"/>
        <v>130913</v>
      </c>
      <c r="F513" s="5">
        <f t="shared" si="40"/>
        <v>3.9937431357550679E-4</v>
      </c>
      <c r="G513" s="5">
        <f t="shared" si="41"/>
        <v>2.7142303218301578E-3</v>
      </c>
    </row>
    <row r="514" spans="1:7" x14ac:dyDescent="0.25">
      <c r="A514" s="1">
        <f t="shared" si="39"/>
        <v>43978</v>
      </c>
      <c r="B514">
        <v>30026</v>
      </c>
      <c r="C514">
        <v>100929</v>
      </c>
      <c r="D514" s="4">
        <f t="shared" si="38"/>
        <v>130955</v>
      </c>
      <c r="F514" s="5">
        <f t="shared" si="40"/>
        <v>-1.0313737232591214E-3</v>
      </c>
      <c r="G514" s="5">
        <f t="shared" si="41"/>
        <v>-3.8626099358207711E-4</v>
      </c>
    </row>
    <row r="515" spans="1:7" x14ac:dyDescent="0.25">
      <c r="A515" s="1">
        <f t="shared" si="39"/>
        <v>43979</v>
      </c>
      <c r="B515">
        <v>30058</v>
      </c>
      <c r="C515">
        <v>100082</v>
      </c>
      <c r="D515" s="4">
        <f t="shared" ref="D515:D578" si="42">SUM(B515:C515)</f>
        <v>130140</v>
      </c>
      <c r="F515" s="5">
        <f t="shared" si="40"/>
        <v>-6.6533599467732962E-5</v>
      </c>
      <c r="G515" s="5">
        <f t="shared" si="41"/>
        <v>-4.3771512703686399E-3</v>
      </c>
    </row>
    <row r="516" spans="1:7" x14ac:dyDescent="0.25">
      <c r="A516" s="1">
        <f t="shared" ref="A516:A579" si="43">A515+1</f>
        <v>43980</v>
      </c>
      <c r="B516">
        <v>30049</v>
      </c>
      <c r="C516">
        <v>100775</v>
      </c>
      <c r="D516" s="4">
        <f t="shared" si="42"/>
        <v>130824</v>
      </c>
      <c r="F516" s="5">
        <f t="shared" si="40"/>
        <v>-1.428951216270069E-3</v>
      </c>
      <c r="G516" s="5">
        <f t="shared" si="41"/>
        <v>-2.1388044479211388E-3</v>
      </c>
    </row>
    <row r="517" spans="1:7" x14ac:dyDescent="0.25">
      <c r="A517" s="1">
        <f t="shared" si="43"/>
        <v>43981</v>
      </c>
      <c r="B517">
        <v>30077</v>
      </c>
      <c r="C517">
        <v>100112</v>
      </c>
      <c r="D517" s="4">
        <f t="shared" si="42"/>
        <v>130189</v>
      </c>
      <c r="F517" s="5">
        <f t="shared" si="40"/>
        <v>2.2993868301786069E-3</v>
      </c>
      <c r="G517" s="5">
        <f t="shared" si="41"/>
        <v>-6.0562737038581949E-3</v>
      </c>
    </row>
    <row r="518" spans="1:7" x14ac:dyDescent="0.25">
      <c r="A518" s="1">
        <f t="shared" si="43"/>
        <v>43982</v>
      </c>
      <c r="B518">
        <v>30054</v>
      </c>
      <c r="C518">
        <v>100011</v>
      </c>
      <c r="D518" s="4">
        <f t="shared" si="42"/>
        <v>130065</v>
      </c>
      <c r="F518" s="5">
        <f t="shared" si="40"/>
        <v>1.3994402239103643E-3</v>
      </c>
      <c r="G518" s="5">
        <f t="shared" si="41"/>
        <v>-6.0030810515330213E-3</v>
      </c>
    </row>
    <row r="519" spans="1:7" x14ac:dyDescent="0.25">
      <c r="A519" s="1">
        <f t="shared" si="43"/>
        <v>43983</v>
      </c>
      <c r="B519">
        <v>30011</v>
      </c>
      <c r="C519">
        <v>100093</v>
      </c>
      <c r="D519" s="4">
        <f t="shared" si="42"/>
        <v>130104</v>
      </c>
      <c r="F519" s="5">
        <f t="shared" si="40"/>
        <v>1.6663333999855645E-4</v>
      </c>
      <c r="G519" s="5">
        <f t="shared" si="41"/>
        <v>-2.998187142657982E-3</v>
      </c>
    </row>
    <row r="520" spans="1:7" x14ac:dyDescent="0.25">
      <c r="A520" s="1">
        <f t="shared" si="43"/>
        <v>43984</v>
      </c>
      <c r="B520">
        <v>30050</v>
      </c>
      <c r="C520">
        <v>100261</v>
      </c>
      <c r="D520" s="4">
        <f t="shared" si="42"/>
        <v>130311</v>
      </c>
      <c r="F520" s="5">
        <f t="shared" si="40"/>
        <v>-2.9941115805587337E-4</v>
      </c>
      <c r="G520" s="5">
        <f t="shared" si="41"/>
        <v>-5.8797866222459749E-3</v>
      </c>
    </row>
    <row r="521" spans="1:7" x14ac:dyDescent="0.25">
      <c r="A521" s="1">
        <f t="shared" si="43"/>
        <v>43985</v>
      </c>
      <c r="B521">
        <v>30040</v>
      </c>
      <c r="C521">
        <v>100463</v>
      </c>
      <c r="D521" s="4">
        <f t="shared" si="42"/>
        <v>130503</v>
      </c>
      <c r="F521" s="5">
        <f t="shared" si="40"/>
        <v>4.6626257243720381E-4</v>
      </c>
      <c r="G521" s="5">
        <f t="shared" si="41"/>
        <v>-4.6171070752707433E-3</v>
      </c>
    </row>
    <row r="522" spans="1:7" x14ac:dyDescent="0.25">
      <c r="A522" s="1">
        <f t="shared" si="43"/>
        <v>43986</v>
      </c>
      <c r="B522">
        <v>30035</v>
      </c>
      <c r="C522">
        <v>100999</v>
      </c>
      <c r="D522" s="4">
        <f t="shared" si="42"/>
        <v>131034</v>
      </c>
      <c r="F522" s="5">
        <f t="shared" si="40"/>
        <v>-7.6518730454455675E-4</v>
      </c>
      <c r="G522" s="5">
        <f t="shared" si="41"/>
        <v>9.1624867608561811E-3</v>
      </c>
    </row>
    <row r="523" spans="1:7" x14ac:dyDescent="0.25">
      <c r="A523" s="1">
        <f t="shared" si="43"/>
        <v>43987</v>
      </c>
      <c r="B523">
        <v>30022</v>
      </c>
      <c r="C523">
        <v>100525</v>
      </c>
      <c r="D523" s="4">
        <f t="shared" si="42"/>
        <v>130547</v>
      </c>
      <c r="F523" s="5">
        <f t="shared" si="40"/>
        <v>-8.9853239708481691E-4</v>
      </c>
      <c r="G523" s="5">
        <f t="shared" si="41"/>
        <v>-2.4807740014884949E-3</v>
      </c>
    </row>
    <row r="524" spans="1:7" x14ac:dyDescent="0.25">
      <c r="A524" s="1">
        <f t="shared" si="43"/>
        <v>43988</v>
      </c>
      <c r="B524">
        <v>30083</v>
      </c>
      <c r="C524">
        <v>100413</v>
      </c>
      <c r="D524" s="4">
        <f t="shared" si="42"/>
        <v>130496</v>
      </c>
      <c r="F524" s="5">
        <f t="shared" si="40"/>
        <v>1.9948798084912234E-4</v>
      </c>
      <c r="G524" s="5">
        <f t="shared" si="41"/>
        <v>3.006632571519896E-3</v>
      </c>
    </row>
    <row r="525" spans="1:7" x14ac:dyDescent="0.25">
      <c r="A525" s="1">
        <f t="shared" si="43"/>
        <v>43989</v>
      </c>
      <c r="B525">
        <v>30036</v>
      </c>
      <c r="C525">
        <v>100481</v>
      </c>
      <c r="D525" s="4">
        <f t="shared" si="42"/>
        <v>130517</v>
      </c>
      <c r="F525" s="5">
        <f t="shared" si="40"/>
        <v>-5.9892194050703562E-4</v>
      </c>
      <c r="G525" s="5">
        <f t="shared" si="41"/>
        <v>4.6994830568638513E-3</v>
      </c>
    </row>
    <row r="526" spans="1:7" x14ac:dyDescent="0.25">
      <c r="A526" s="1">
        <f t="shared" si="43"/>
        <v>43990</v>
      </c>
      <c r="B526">
        <v>30030</v>
      </c>
      <c r="C526">
        <v>100781</v>
      </c>
      <c r="D526" s="4">
        <f t="shared" si="42"/>
        <v>130811</v>
      </c>
      <c r="F526" s="5">
        <f t="shared" si="40"/>
        <v>6.3310119622794758E-4</v>
      </c>
      <c r="G526" s="5">
        <f t="shared" si="41"/>
        <v>6.873607544983118E-3</v>
      </c>
    </row>
    <row r="527" spans="1:7" x14ac:dyDescent="0.25">
      <c r="A527" s="1">
        <f t="shared" si="43"/>
        <v>43991</v>
      </c>
      <c r="B527">
        <v>30073</v>
      </c>
      <c r="C527">
        <v>100886</v>
      </c>
      <c r="D527" s="4">
        <f t="shared" si="42"/>
        <v>130959</v>
      </c>
      <c r="F527" s="5">
        <f t="shared" si="40"/>
        <v>7.6539101497496986E-4</v>
      </c>
      <c r="G527" s="5">
        <f t="shared" si="41"/>
        <v>6.2337299647918787E-3</v>
      </c>
    </row>
    <row r="528" spans="1:7" x14ac:dyDescent="0.25">
      <c r="A528" s="1">
        <f t="shared" si="43"/>
        <v>43992</v>
      </c>
      <c r="B528">
        <v>30045</v>
      </c>
      <c r="C528">
        <v>100708</v>
      </c>
      <c r="D528" s="4">
        <f t="shared" si="42"/>
        <v>130753</v>
      </c>
      <c r="F528" s="5">
        <f t="shared" si="40"/>
        <v>1.6644474034621659E-4</v>
      </c>
      <c r="G528" s="5">
        <f t="shared" si="41"/>
        <v>2.4387087783561689E-3</v>
      </c>
    </row>
    <row r="529" spans="1:7" x14ac:dyDescent="0.25">
      <c r="A529" s="1">
        <f t="shared" si="43"/>
        <v>43993</v>
      </c>
      <c r="B529">
        <v>30067</v>
      </c>
      <c r="C529">
        <v>100899</v>
      </c>
      <c r="D529" s="4">
        <f t="shared" si="42"/>
        <v>130966</v>
      </c>
      <c r="F529" s="5">
        <f t="shared" si="40"/>
        <v>1.0654236723821597E-3</v>
      </c>
      <c r="G529" s="5">
        <f t="shared" si="41"/>
        <v>-9.9010881295857889E-4</v>
      </c>
    </row>
    <row r="530" spans="1:7" x14ac:dyDescent="0.25">
      <c r="A530" s="1">
        <f t="shared" si="43"/>
        <v>43994</v>
      </c>
      <c r="B530">
        <v>30081</v>
      </c>
      <c r="C530">
        <v>100764</v>
      </c>
      <c r="D530" s="4">
        <f t="shared" si="42"/>
        <v>130845</v>
      </c>
      <c r="F530" s="5">
        <f t="shared" si="40"/>
        <v>1.9652255012989617E-3</v>
      </c>
      <c r="G530" s="5">
        <f t="shared" si="41"/>
        <v>2.3775180303406973E-3</v>
      </c>
    </row>
    <row r="531" spans="1:7" x14ac:dyDescent="0.25">
      <c r="A531" s="1">
        <f t="shared" si="43"/>
        <v>43995</v>
      </c>
      <c r="B531">
        <v>30083</v>
      </c>
      <c r="C531">
        <v>100168</v>
      </c>
      <c r="D531" s="4">
        <f t="shared" si="42"/>
        <v>130251</v>
      </c>
      <c r="F531" s="5">
        <f t="shared" si="40"/>
        <v>0</v>
      </c>
      <c r="G531" s="5">
        <f t="shared" si="41"/>
        <v>-2.4399231175246117E-3</v>
      </c>
    </row>
    <row r="532" spans="1:7" x14ac:dyDescent="0.25">
      <c r="A532" s="1">
        <f t="shared" si="43"/>
        <v>43996</v>
      </c>
      <c r="B532">
        <v>30067</v>
      </c>
      <c r="C532">
        <v>100064</v>
      </c>
      <c r="D532" s="4">
        <f t="shared" si="42"/>
        <v>130131</v>
      </c>
      <c r="F532" s="5">
        <f t="shared" ref="F532:F595" si="44">(B532/B525)-1</f>
        <v>1.0320948195499113E-3</v>
      </c>
      <c r="G532" s="5">
        <f t="shared" ref="G532:G595" si="45">(C532/C525)-1</f>
        <v>-4.1500383157014875E-3</v>
      </c>
    </row>
    <row r="533" spans="1:7" x14ac:dyDescent="0.25">
      <c r="A533" s="1">
        <f t="shared" si="43"/>
        <v>43997</v>
      </c>
      <c r="B533">
        <v>30076</v>
      </c>
      <c r="C533">
        <v>100635</v>
      </c>
      <c r="D533" s="4">
        <f t="shared" si="42"/>
        <v>130711</v>
      </c>
      <c r="F533" s="5">
        <f t="shared" si="44"/>
        <v>1.5318015318015465E-3</v>
      </c>
      <c r="G533" s="5">
        <f t="shared" si="45"/>
        <v>-1.4486857641817785E-3</v>
      </c>
    </row>
    <row r="534" spans="1:7" x14ac:dyDescent="0.25">
      <c r="A534" s="1">
        <f t="shared" si="43"/>
        <v>43998</v>
      </c>
      <c r="B534">
        <v>30046</v>
      </c>
      <c r="C534">
        <v>100371</v>
      </c>
      <c r="D534" s="4">
        <f t="shared" si="42"/>
        <v>130417</v>
      </c>
      <c r="F534" s="5">
        <f t="shared" si="44"/>
        <v>-8.9781531606425435E-4</v>
      </c>
      <c r="G534" s="5">
        <f t="shared" si="45"/>
        <v>-5.1047717225383149E-3</v>
      </c>
    </row>
    <row r="535" spans="1:7" x14ac:dyDescent="0.25">
      <c r="A535" s="1">
        <f t="shared" si="43"/>
        <v>43999</v>
      </c>
      <c r="B535">
        <v>30041</v>
      </c>
      <c r="C535">
        <v>100579</v>
      </c>
      <c r="D535" s="4">
        <f t="shared" si="42"/>
        <v>130620</v>
      </c>
      <c r="F535" s="5">
        <f t="shared" si="44"/>
        <v>-1.3313363288403046E-4</v>
      </c>
      <c r="G535" s="5">
        <f t="shared" si="45"/>
        <v>-1.2809310084600511E-3</v>
      </c>
    </row>
    <row r="536" spans="1:7" x14ac:dyDescent="0.25">
      <c r="A536" s="1">
        <f t="shared" si="43"/>
        <v>44000</v>
      </c>
      <c r="B536">
        <v>30067</v>
      </c>
      <c r="C536">
        <v>100044</v>
      </c>
      <c r="D536" s="4">
        <f t="shared" si="42"/>
        <v>130111</v>
      </c>
      <c r="F536" s="5">
        <f t="shared" si="44"/>
        <v>0</v>
      </c>
      <c r="G536" s="5">
        <f t="shared" si="45"/>
        <v>-8.4738203550084323E-3</v>
      </c>
    </row>
    <row r="537" spans="1:7" x14ac:dyDescent="0.25">
      <c r="A537" s="1">
        <f t="shared" si="43"/>
        <v>44001</v>
      </c>
      <c r="B537">
        <v>30082</v>
      </c>
      <c r="C537">
        <v>100649</v>
      </c>
      <c r="D537" s="4">
        <f t="shared" si="42"/>
        <v>130731</v>
      </c>
      <c r="F537" s="5">
        <f t="shared" si="44"/>
        <v>3.3243575678909565E-5</v>
      </c>
      <c r="G537" s="5">
        <f t="shared" si="45"/>
        <v>-1.1412806160930877E-3</v>
      </c>
    </row>
    <row r="538" spans="1:7" x14ac:dyDescent="0.25">
      <c r="A538" s="1">
        <f t="shared" si="43"/>
        <v>44002</v>
      </c>
      <c r="B538">
        <v>30059</v>
      </c>
      <c r="C538">
        <v>100625</v>
      </c>
      <c r="D538" s="4">
        <f t="shared" si="42"/>
        <v>130684</v>
      </c>
      <c r="F538" s="5">
        <f t="shared" si="44"/>
        <v>-7.9779277332714393E-4</v>
      </c>
      <c r="G538" s="5">
        <f t="shared" si="45"/>
        <v>4.5623352767349967E-3</v>
      </c>
    </row>
    <row r="539" spans="1:7" x14ac:dyDescent="0.25">
      <c r="A539" s="1">
        <f t="shared" si="43"/>
        <v>44003</v>
      </c>
      <c r="B539">
        <v>30078</v>
      </c>
      <c r="C539">
        <v>100805</v>
      </c>
      <c r="D539" s="4">
        <f t="shared" si="42"/>
        <v>130883</v>
      </c>
      <c r="F539" s="5">
        <f t="shared" si="44"/>
        <v>3.6584960255425791E-4</v>
      </c>
      <c r="G539" s="5">
        <f t="shared" si="45"/>
        <v>7.405260633194688E-3</v>
      </c>
    </row>
    <row r="540" spans="1:7" x14ac:dyDescent="0.25">
      <c r="A540" s="1">
        <f t="shared" si="43"/>
        <v>44004</v>
      </c>
      <c r="B540">
        <v>30034</v>
      </c>
      <c r="C540">
        <v>100435</v>
      </c>
      <c r="D540" s="4">
        <f t="shared" si="42"/>
        <v>130469</v>
      </c>
      <c r="F540" s="5">
        <f t="shared" si="44"/>
        <v>-1.3964622955180417E-3</v>
      </c>
      <c r="G540" s="5">
        <f t="shared" si="45"/>
        <v>-1.9873801361355303E-3</v>
      </c>
    </row>
    <row r="541" spans="1:7" x14ac:dyDescent="0.25">
      <c r="A541" s="1">
        <f t="shared" si="43"/>
        <v>44005</v>
      </c>
      <c r="B541">
        <v>30085</v>
      </c>
      <c r="C541">
        <v>100290</v>
      </c>
      <c r="D541" s="4">
        <f t="shared" si="42"/>
        <v>130375</v>
      </c>
      <c r="F541" s="5">
        <f t="shared" si="44"/>
        <v>1.2980097184316364E-3</v>
      </c>
      <c r="G541" s="5">
        <f t="shared" si="45"/>
        <v>-8.070060077114416E-4</v>
      </c>
    </row>
    <row r="542" spans="1:7" x14ac:dyDescent="0.25">
      <c r="A542" s="1">
        <f t="shared" si="43"/>
        <v>44006</v>
      </c>
      <c r="B542">
        <v>30091</v>
      </c>
      <c r="C542">
        <v>100600</v>
      </c>
      <c r="D542" s="4">
        <f t="shared" si="42"/>
        <v>130691</v>
      </c>
      <c r="F542" s="5">
        <f t="shared" si="44"/>
        <v>1.6643919976033761E-3</v>
      </c>
      <c r="G542" s="5">
        <f t="shared" si="45"/>
        <v>2.0879109953364505E-4</v>
      </c>
    </row>
    <row r="543" spans="1:7" x14ac:dyDescent="0.25">
      <c r="A543" s="1">
        <f t="shared" si="43"/>
        <v>44007</v>
      </c>
      <c r="B543">
        <v>30081</v>
      </c>
      <c r="C543">
        <v>100607</v>
      </c>
      <c r="D543" s="4">
        <f t="shared" si="42"/>
        <v>130688</v>
      </c>
      <c r="F543" s="5">
        <f t="shared" si="44"/>
        <v>4.6562676688721716E-4</v>
      </c>
      <c r="G543" s="5">
        <f t="shared" si="45"/>
        <v>5.6275238894887281E-3</v>
      </c>
    </row>
    <row r="544" spans="1:7" x14ac:dyDescent="0.25">
      <c r="A544" s="1">
        <f t="shared" si="43"/>
        <v>44008</v>
      </c>
      <c r="B544">
        <v>30061</v>
      </c>
      <c r="C544">
        <v>100672</v>
      </c>
      <c r="D544" s="4">
        <f t="shared" si="42"/>
        <v>130733</v>
      </c>
      <c r="F544" s="5">
        <f t="shared" si="44"/>
        <v>-6.9809188218872276E-4</v>
      </c>
      <c r="G544" s="5">
        <f t="shared" si="45"/>
        <v>2.2851692515568622E-4</v>
      </c>
    </row>
    <row r="545" spans="1:7" x14ac:dyDescent="0.25">
      <c r="A545" s="1">
        <f t="shared" si="43"/>
        <v>44009</v>
      </c>
      <c r="B545">
        <v>30074</v>
      </c>
      <c r="C545">
        <v>100207</v>
      </c>
      <c r="D545" s="4">
        <f t="shared" si="42"/>
        <v>130281</v>
      </c>
      <c r="F545" s="5">
        <f t="shared" si="44"/>
        <v>4.9901859675971494E-4</v>
      </c>
      <c r="G545" s="5">
        <f t="shared" si="45"/>
        <v>-4.1540372670807457E-3</v>
      </c>
    </row>
    <row r="546" spans="1:7" x14ac:dyDescent="0.25">
      <c r="A546" s="1">
        <f t="shared" si="43"/>
        <v>44010</v>
      </c>
      <c r="B546">
        <v>30086</v>
      </c>
      <c r="C546">
        <v>100428</v>
      </c>
      <c r="D546" s="4">
        <f t="shared" si="42"/>
        <v>130514</v>
      </c>
      <c r="F546" s="5">
        <f t="shared" si="44"/>
        <v>2.6597513132520234E-4</v>
      </c>
      <c r="G546" s="5">
        <f t="shared" si="45"/>
        <v>-3.7398938544714877E-3</v>
      </c>
    </row>
    <row r="547" spans="1:7" x14ac:dyDescent="0.25">
      <c r="A547" s="1">
        <f t="shared" si="43"/>
        <v>44011</v>
      </c>
      <c r="B547">
        <v>30080</v>
      </c>
      <c r="C547">
        <v>100924</v>
      </c>
      <c r="D547" s="4">
        <f t="shared" si="42"/>
        <v>131004</v>
      </c>
      <c r="F547" s="5">
        <f t="shared" si="44"/>
        <v>1.5315975228074041E-3</v>
      </c>
      <c r="G547" s="5">
        <f t="shared" si="45"/>
        <v>4.8688206302582859E-3</v>
      </c>
    </row>
    <row r="548" spans="1:7" x14ac:dyDescent="0.25">
      <c r="A548" s="1">
        <f t="shared" si="43"/>
        <v>44012</v>
      </c>
      <c r="B548">
        <v>30049</v>
      </c>
      <c r="C548">
        <v>100771</v>
      </c>
      <c r="D548" s="4">
        <f t="shared" si="42"/>
        <v>130820</v>
      </c>
      <c r="F548" s="5">
        <f t="shared" si="44"/>
        <v>-1.1966096061160059E-3</v>
      </c>
      <c r="G548" s="5">
        <f t="shared" si="45"/>
        <v>4.7960913351281498E-3</v>
      </c>
    </row>
    <row r="549" spans="1:7" x14ac:dyDescent="0.25">
      <c r="A549" s="1">
        <f t="shared" si="43"/>
        <v>44013</v>
      </c>
      <c r="B549">
        <v>30027</v>
      </c>
      <c r="C549">
        <v>100623</v>
      </c>
      <c r="D549" s="4">
        <f t="shared" si="42"/>
        <v>130650</v>
      </c>
      <c r="F549" s="5">
        <f t="shared" si="44"/>
        <v>-2.1268817918979055E-3</v>
      </c>
      <c r="G549" s="5">
        <f t="shared" si="45"/>
        <v>2.2862823061631232E-4</v>
      </c>
    </row>
    <row r="550" spans="1:7" x14ac:dyDescent="0.25">
      <c r="A550" s="1">
        <f t="shared" si="43"/>
        <v>44014</v>
      </c>
      <c r="B550">
        <v>30058</v>
      </c>
      <c r="C550">
        <v>100284</v>
      </c>
      <c r="D550" s="4">
        <f t="shared" si="42"/>
        <v>130342</v>
      </c>
      <c r="F550" s="5">
        <f t="shared" si="44"/>
        <v>-7.6460224061702942E-4</v>
      </c>
      <c r="G550" s="5">
        <f t="shared" si="45"/>
        <v>-3.2105121910006584E-3</v>
      </c>
    </row>
    <row r="551" spans="1:7" x14ac:dyDescent="0.25">
      <c r="A551" s="1">
        <f t="shared" si="43"/>
        <v>44015</v>
      </c>
      <c r="B551">
        <v>30088</v>
      </c>
      <c r="C551">
        <v>100457</v>
      </c>
      <c r="D551" s="4">
        <f t="shared" si="42"/>
        <v>130545</v>
      </c>
      <c r="F551" s="5">
        <f t="shared" si="44"/>
        <v>8.9817371344924624E-4</v>
      </c>
      <c r="G551" s="5">
        <f t="shared" si="45"/>
        <v>-2.1356484424666089E-3</v>
      </c>
    </row>
    <row r="552" spans="1:7" x14ac:dyDescent="0.25">
      <c r="A552" s="1">
        <f t="shared" si="43"/>
        <v>44016</v>
      </c>
      <c r="B552">
        <v>30041</v>
      </c>
      <c r="C552">
        <v>100174</v>
      </c>
      <c r="D552" s="4">
        <f t="shared" si="42"/>
        <v>130215</v>
      </c>
      <c r="F552" s="5">
        <f t="shared" si="44"/>
        <v>-1.0972933430870579E-3</v>
      </c>
      <c r="G552" s="5">
        <f t="shared" si="45"/>
        <v>-3.2931831109606069E-4</v>
      </c>
    </row>
    <row r="553" spans="1:7" x14ac:dyDescent="0.25">
      <c r="A553" s="1">
        <f t="shared" si="43"/>
        <v>44017</v>
      </c>
      <c r="B553">
        <v>30004</v>
      </c>
      <c r="C553">
        <v>100470</v>
      </c>
      <c r="D553" s="4">
        <f t="shared" si="42"/>
        <v>130474</v>
      </c>
      <c r="F553" s="5">
        <f t="shared" si="44"/>
        <v>-2.7255201754968761E-3</v>
      </c>
      <c r="G553" s="5">
        <f t="shared" si="45"/>
        <v>4.1821006093911706E-4</v>
      </c>
    </row>
    <row r="554" spans="1:7" x14ac:dyDescent="0.25">
      <c r="A554" s="1">
        <f t="shared" si="43"/>
        <v>44018</v>
      </c>
      <c r="B554">
        <v>30031</v>
      </c>
      <c r="C554">
        <v>100273</v>
      </c>
      <c r="D554" s="4">
        <f t="shared" si="42"/>
        <v>130304</v>
      </c>
      <c r="F554" s="5">
        <f t="shared" si="44"/>
        <v>-1.6289893617020823E-3</v>
      </c>
      <c r="G554" s="5">
        <f t="shared" si="45"/>
        <v>-6.4503983195275394E-3</v>
      </c>
    </row>
    <row r="555" spans="1:7" x14ac:dyDescent="0.25">
      <c r="A555" s="1">
        <f t="shared" si="43"/>
        <v>44019</v>
      </c>
      <c r="B555">
        <v>30029</v>
      </c>
      <c r="C555">
        <v>100352</v>
      </c>
      <c r="D555" s="4">
        <f t="shared" si="42"/>
        <v>130381</v>
      </c>
      <c r="F555" s="5">
        <f t="shared" si="44"/>
        <v>-6.6557955339607844E-4</v>
      </c>
      <c r="G555" s="5">
        <f t="shared" si="45"/>
        <v>-4.1579422651357723E-3</v>
      </c>
    </row>
    <row r="556" spans="1:7" x14ac:dyDescent="0.25">
      <c r="A556" s="1">
        <f t="shared" si="43"/>
        <v>44020</v>
      </c>
      <c r="B556">
        <v>30002</v>
      </c>
      <c r="C556">
        <v>100212</v>
      </c>
      <c r="D556" s="4">
        <f t="shared" si="42"/>
        <v>130214</v>
      </c>
      <c r="F556" s="5">
        <f t="shared" si="44"/>
        <v>-8.3258400772634467E-4</v>
      </c>
      <c r="G556" s="5">
        <f t="shared" si="45"/>
        <v>-4.084553233356214E-3</v>
      </c>
    </row>
    <row r="557" spans="1:7" x14ac:dyDescent="0.25">
      <c r="A557" s="1">
        <f t="shared" si="43"/>
        <v>44021</v>
      </c>
      <c r="B557">
        <v>30073</v>
      </c>
      <c r="C557">
        <v>100481</v>
      </c>
      <c r="D557" s="4">
        <f t="shared" si="42"/>
        <v>130554</v>
      </c>
      <c r="F557" s="5">
        <f t="shared" si="44"/>
        <v>4.9903519861604906E-4</v>
      </c>
      <c r="G557" s="5">
        <f t="shared" si="45"/>
        <v>1.9644210442344434E-3</v>
      </c>
    </row>
    <row r="558" spans="1:7" x14ac:dyDescent="0.25">
      <c r="A558" s="1">
        <f t="shared" si="43"/>
        <v>44022</v>
      </c>
      <c r="B558">
        <v>30097</v>
      </c>
      <c r="C558">
        <v>100300</v>
      </c>
      <c r="D558" s="4">
        <f t="shared" si="42"/>
        <v>130397</v>
      </c>
      <c r="F558" s="5">
        <f t="shared" si="44"/>
        <v>2.9912257378361673E-4</v>
      </c>
      <c r="G558" s="5">
        <f t="shared" si="45"/>
        <v>-1.5628577401276544E-3</v>
      </c>
    </row>
    <row r="559" spans="1:7" x14ac:dyDescent="0.25">
      <c r="A559" s="1">
        <f t="shared" si="43"/>
        <v>44023</v>
      </c>
      <c r="B559">
        <v>30023</v>
      </c>
      <c r="C559">
        <v>100790</v>
      </c>
      <c r="D559" s="4">
        <f t="shared" si="42"/>
        <v>130813</v>
      </c>
      <c r="F559" s="5">
        <f t="shared" si="44"/>
        <v>-5.9918111913714878E-4</v>
      </c>
      <c r="G559" s="5">
        <f t="shared" si="45"/>
        <v>6.1493002176213896E-3</v>
      </c>
    </row>
    <row r="560" spans="1:7" x14ac:dyDescent="0.25">
      <c r="A560" s="1">
        <f t="shared" si="43"/>
        <v>44024</v>
      </c>
      <c r="B560">
        <v>30076</v>
      </c>
      <c r="C560">
        <v>100478</v>
      </c>
      <c r="D560" s="4">
        <f t="shared" si="42"/>
        <v>130554</v>
      </c>
      <c r="F560" s="5">
        <f t="shared" si="44"/>
        <v>2.39968004266089E-3</v>
      </c>
      <c r="G560" s="5">
        <f t="shared" si="45"/>
        <v>7.9625758933055124E-5</v>
      </c>
    </row>
    <row r="561" spans="1:7" x14ac:dyDescent="0.25">
      <c r="A561" s="1">
        <f t="shared" si="43"/>
        <v>44025</v>
      </c>
      <c r="B561">
        <v>30057</v>
      </c>
      <c r="C561">
        <v>100251</v>
      </c>
      <c r="D561" s="4">
        <f t="shared" si="42"/>
        <v>130308</v>
      </c>
      <c r="F561" s="5">
        <f t="shared" si="44"/>
        <v>8.6577203556315041E-4</v>
      </c>
      <c r="G561" s="5">
        <f t="shared" si="45"/>
        <v>-2.1940103517392728E-4</v>
      </c>
    </row>
    <row r="562" spans="1:7" x14ac:dyDescent="0.25">
      <c r="A562" s="1">
        <f t="shared" si="43"/>
        <v>44026</v>
      </c>
      <c r="B562">
        <v>30065</v>
      </c>
      <c r="C562">
        <v>100212</v>
      </c>
      <c r="D562" s="4">
        <f t="shared" si="42"/>
        <v>130277</v>
      </c>
      <c r="F562" s="5">
        <f t="shared" si="44"/>
        <v>1.1988411202503713E-3</v>
      </c>
      <c r="G562" s="5">
        <f t="shared" si="45"/>
        <v>-1.3950892857143016E-3</v>
      </c>
    </row>
    <row r="563" spans="1:7" x14ac:dyDescent="0.25">
      <c r="A563" s="1">
        <f t="shared" si="43"/>
        <v>44027</v>
      </c>
      <c r="B563">
        <v>30072</v>
      </c>
      <c r="C563">
        <v>100191</v>
      </c>
      <c r="D563" s="4">
        <f t="shared" si="42"/>
        <v>130263</v>
      </c>
      <c r="F563" s="5">
        <f t="shared" si="44"/>
        <v>2.3331777881474558E-3</v>
      </c>
      <c r="G563" s="5">
        <f t="shared" si="45"/>
        <v>-2.0955574182734971E-4</v>
      </c>
    </row>
    <row r="564" spans="1:7" x14ac:dyDescent="0.25">
      <c r="A564" s="1">
        <f t="shared" si="43"/>
        <v>44028</v>
      </c>
      <c r="B564">
        <v>30044</v>
      </c>
      <c r="C564">
        <v>100019</v>
      </c>
      <c r="D564" s="4">
        <f t="shared" si="42"/>
        <v>130063</v>
      </c>
      <c r="F564" s="5">
        <f t="shared" si="44"/>
        <v>-9.6432015429126494E-4</v>
      </c>
      <c r="G564" s="5">
        <f t="shared" si="45"/>
        <v>-4.597884177108158E-3</v>
      </c>
    </row>
    <row r="565" spans="1:7" x14ac:dyDescent="0.25">
      <c r="A565" s="1">
        <f t="shared" si="43"/>
        <v>44029</v>
      </c>
      <c r="B565">
        <v>30004</v>
      </c>
      <c r="C565">
        <v>100377</v>
      </c>
      <c r="D565" s="4">
        <f t="shared" si="42"/>
        <v>130381</v>
      </c>
      <c r="F565" s="5">
        <f t="shared" si="44"/>
        <v>-3.0900089709937628E-3</v>
      </c>
      <c r="G565" s="5">
        <f t="shared" si="45"/>
        <v>7.6769690927225298E-4</v>
      </c>
    </row>
    <row r="566" spans="1:7" x14ac:dyDescent="0.25">
      <c r="A566" s="1">
        <f t="shared" si="43"/>
        <v>44030</v>
      </c>
      <c r="B566">
        <v>30020</v>
      </c>
      <c r="C566">
        <v>100099</v>
      </c>
      <c r="D566" s="4">
        <f t="shared" si="42"/>
        <v>130119</v>
      </c>
      <c r="F566" s="5">
        <f t="shared" si="44"/>
        <v>-9.9923392066103567E-5</v>
      </c>
      <c r="G566" s="5">
        <f t="shared" si="45"/>
        <v>-6.8558388729040853E-3</v>
      </c>
    </row>
    <row r="567" spans="1:7" x14ac:dyDescent="0.25">
      <c r="A567" s="1">
        <f t="shared" si="43"/>
        <v>44031</v>
      </c>
      <c r="B567">
        <v>30036</v>
      </c>
      <c r="C567">
        <v>100659</v>
      </c>
      <c r="D567" s="4">
        <f t="shared" si="42"/>
        <v>130695</v>
      </c>
      <c r="F567" s="5">
        <f t="shared" si="44"/>
        <v>-1.3299640909695265E-3</v>
      </c>
      <c r="G567" s="5">
        <f t="shared" si="45"/>
        <v>1.8013893588646468E-3</v>
      </c>
    </row>
    <row r="568" spans="1:7" x14ac:dyDescent="0.25">
      <c r="A568" s="1">
        <f t="shared" si="43"/>
        <v>44032</v>
      </c>
      <c r="B568">
        <v>30067</v>
      </c>
      <c r="C568">
        <v>100405</v>
      </c>
      <c r="D568" s="4">
        <f t="shared" si="42"/>
        <v>130472</v>
      </c>
      <c r="F568" s="5">
        <f t="shared" si="44"/>
        <v>3.3270120105144407E-4</v>
      </c>
      <c r="G568" s="5">
        <f t="shared" si="45"/>
        <v>1.5361442778625278E-3</v>
      </c>
    </row>
    <row r="569" spans="1:7" x14ac:dyDescent="0.25">
      <c r="A569" s="1">
        <f t="shared" si="43"/>
        <v>44033</v>
      </c>
      <c r="B569">
        <v>30069</v>
      </c>
      <c r="C569">
        <v>100806</v>
      </c>
      <c r="D569" s="4">
        <f t="shared" si="42"/>
        <v>130875</v>
      </c>
      <c r="F569" s="5">
        <f t="shared" si="44"/>
        <v>1.3304506901712365E-4</v>
      </c>
      <c r="G569" s="5">
        <f t="shared" si="45"/>
        <v>5.9274338402586224E-3</v>
      </c>
    </row>
    <row r="570" spans="1:7" x14ac:dyDescent="0.25">
      <c r="A570" s="1">
        <f t="shared" si="43"/>
        <v>44034</v>
      </c>
      <c r="B570">
        <v>30075</v>
      </c>
      <c r="C570">
        <v>100303</v>
      </c>
      <c r="D570" s="4">
        <f t="shared" si="42"/>
        <v>130378</v>
      </c>
      <c r="F570" s="5">
        <f t="shared" si="44"/>
        <v>9.9760574620910702E-5</v>
      </c>
      <c r="G570" s="5">
        <f t="shared" si="45"/>
        <v>1.1178648780829636E-3</v>
      </c>
    </row>
    <row r="571" spans="1:7" x14ac:dyDescent="0.25">
      <c r="A571" s="1">
        <f t="shared" si="43"/>
        <v>44035</v>
      </c>
      <c r="B571">
        <v>30037</v>
      </c>
      <c r="C571">
        <v>100623</v>
      </c>
      <c r="D571" s="4">
        <f t="shared" si="42"/>
        <v>130660</v>
      </c>
      <c r="F571" s="5">
        <f t="shared" si="44"/>
        <v>-2.3299161230194709E-4</v>
      </c>
      <c r="G571" s="5">
        <f t="shared" si="45"/>
        <v>6.0388526180026325E-3</v>
      </c>
    </row>
    <row r="572" spans="1:7" x14ac:dyDescent="0.25">
      <c r="A572" s="1">
        <f t="shared" si="43"/>
        <v>44036</v>
      </c>
      <c r="B572">
        <v>30051</v>
      </c>
      <c r="C572">
        <v>100704</v>
      </c>
      <c r="D572" s="4">
        <f t="shared" si="42"/>
        <v>130755</v>
      </c>
      <c r="F572" s="5">
        <f t="shared" si="44"/>
        <v>1.5664578056258094E-3</v>
      </c>
      <c r="G572" s="5">
        <f t="shared" si="45"/>
        <v>3.2577184016258087E-3</v>
      </c>
    </row>
    <row r="573" spans="1:7" x14ac:dyDescent="0.25">
      <c r="A573" s="1">
        <f t="shared" si="43"/>
        <v>44037</v>
      </c>
      <c r="B573">
        <v>30095</v>
      </c>
      <c r="C573">
        <v>100231</v>
      </c>
      <c r="D573" s="4">
        <f t="shared" si="42"/>
        <v>130326</v>
      </c>
      <c r="F573" s="5">
        <f t="shared" si="44"/>
        <v>2.4983344437041755E-3</v>
      </c>
      <c r="G573" s="5">
        <f t="shared" si="45"/>
        <v>1.3186944924523658E-3</v>
      </c>
    </row>
    <row r="574" spans="1:7" x14ac:dyDescent="0.25">
      <c r="A574" s="1">
        <f t="shared" si="43"/>
        <v>44038</v>
      </c>
      <c r="B574">
        <v>30069</v>
      </c>
      <c r="C574">
        <v>100046</v>
      </c>
      <c r="D574" s="4">
        <f t="shared" si="42"/>
        <v>130115</v>
      </c>
      <c r="F574" s="5">
        <f t="shared" si="44"/>
        <v>1.0986815821014684E-3</v>
      </c>
      <c r="G574" s="5">
        <f t="shared" si="45"/>
        <v>-6.0898677713865368E-3</v>
      </c>
    </row>
    <row r="575" spans="1:7" x14ac:dyDescent="0.25">
      <c r="A575" s="1">
        <f t="shared" si="43"/>
        <v>44039</v>
      </c>
      <c r="B575">
        <v>30005</v>
      </c>
      <c r="C575">
        <v>100382</v>
      </c>
      <c r="D575" s="4">
        <f t="shared" si="42"/>
        <v>130387</v>
      </c>
      <c r="F575" s="5">
        <f t="shared" si="44"/>
        <v>-2.0620613962151202E-3</v>
      </c>
      <c r="G575" s="5">
        <f t="shared" si="45"/>
        <v>-2.2907225735768755E-4</v>
      </c>
    </row>
    <row r="576" spans="1:7" x14ac:dyDescent="0.25">
      <c r="A576" s="1">
        <f t="shared" si="43"/>
        <v>44040</v>
      </c>
      <c r="B576">
        <v>30017</v>
      </c>
      <c r="C576">
        <v>100220</v>
      </c>
      <c r="D576" s="4">
        <f t="shared" si="42"/>
        <v>130237</v>
      </c>
      <c r="F576" s="5">
        <f t="shared" si="44"/>
        <v>-1.7293558149589217E-3</v>
      </c>
      <c r="G576" s="5">
        <f t="shared" si="45"/>
        <v>-5.8131460428942905E-3</v>
      </c>
    </row>
    <row r="577" spans="1:7" x14ac:dyDescent="0.25">
      <c r="A577" s="1">
        <f t="shared" si="43"/>
        <v>44041</v>
      </c>
      <c r="B577">
        <v>30031</v>
      </c>
      <c r="C577">
        <v>100458</v>
      </c>
      <c r="D577" s="4">
        <f t="shared" si="42"/>
        <v>130489</v>
      </c>
      <c r="F577" s="5">
        <f t="shared" si="44"/>
        <v>-1.463009143807148E-3</v>
      </c>
      <c r="G577" s="5">
        <f t="shared" si="45"/>
        <v>1.5453176874071772E-3</v>
      </c>
    </row>
    <row r="578" spans="1:7" x14ac:dyDescent="0.25">
      <c r="A578" s="1">
        <f t="shared" si="43"/>
        <v>44042</v>
      </c>
      <c r="B578">
        <v>30036</v>
      </c>
      <c r="C578">
        <v>100146</v>
      </c>
      <c r="D578" s="4">
        <f t="shared" si="42"/>
        <v>130182</v>
      </c>
      <c r="F578" s="5">
        <f t="shared" si="44"/>
        <v>-3.3292272863416628E-5</v>
      </c>
      <c r="G578" s="5">
        <f t="shared" si="45"/>
        <v>-4.740466891267392E-3</v>
      </c>
    </row>
    <row r="579" spans="1:7" x14ac:dyDescent="0.25">
      <c r="A579" s="1">
        <f t="shared" si="43"/>
        <v>44043</v>
      </c>
      <c r="B579">
        <v>30072</v>
      </c>
      <c r="C579">
        <v>100403</v>
      </c>
      <c r="D579" s="4">
        <f t="shared" ref="D579:D642" si="46">SUM(B579:C579)</f>
        <v>130475</v>
      </c>
      <c r="F579" s="5">
        <f t="shared" si="44"/>
        <v>6.9881201956678574E-4</v>
      </c>
      <c r="G579" s="5">
        <f t="shared" si="45"/>
        <v>-2.9889577375278309E-3</v>
      </c>
    </row>
    <row r="580" spans="1:7" x14ac:dyDescent="0.25">
      <c r="A580" s="1">
        <f t="shared" ref="A580:A643" si="47">A579+1</f>
        <v>44044</v>
      </c>
      <c r="B580">
        <v>30014</v>
      </c>
      <c r="C580">
        <v>100329</v>
      </c>
      <c r="D580" s="4">
        <f t="shared" si="46"/>
        <v>130343</v>
      </c>
      <c r="F580" s="5">
        <f t="shared" si="44"/>
        <v>-2.6914769895330926E-3</v>
      </c>
      <c r="G580" s="5">
        <f t="shared" si="45"/>
        <v>9.7774141732598352E-4</v>
      </c>
    </row>
    <row r="581" spans="1:7" x14ac:dyDescent="0.25">
      <c r="A581" s="1">
        <f t="shared" si="47"/>
        <v>44045</v>
      </c>
      <c r="B581">
        <v>30052</v>
      </c>
      <c r="C581">
        <v>100293</v>
      </c>
      <c r="D581" s="4">
        <f t="shared" si="46"/>
        <v>130345</v>
      </c>
      <c r="F581" s="5">
        <f t="shared" si="44"/>
        <v>-5.6536632412118593E-4</v>
      </c>
      <c r="G581" s="5">
        <f t="shared" si="45"/>
        <v>2.468864322411779E-3</v>
      </c>
    </row>
    <row r="582" spans="1:7" x14ac:dyDescent="0.25">
      <c r="A582" s="1">
        <f t="shared" si="47"/>
        <v>44046</v>
      </c>
      <c r="B582">
        <v>30096</v>
      </c>
      <c r="C582">
        <v>100563</v>
      </c>
      <c r="D582" s="4">
        <f t="shared" si="46"/>
        <v>130659</v>
      </c>
      <c r="F582" s="5">
        <f t="shared" si="44"/>
        <v>3.0328278620230797E-3</v>
      </c>
      <c r="G582" s="5">
        <f t="shared" si="45"/>
        <v>1.8031121117332294E-3</v>
      </c>
    </row>
    <row r="583" spans="1:7" x14ac:dyDescent="0.25">
      <c r="A583" s="1">
        <f t="shared" si="47"/>
        <v>44047</v>
      </c>
      <c r="B583">
        <v>30002</v>
      </c>
      <c r="C583">
        <v>100380</v>
      </c>
      <c r="D583" s="4">
        <f t="shared" si="46"/>
        <v>130382</v>
      </c>
      <c r="F583" s="5">
        <f t="shared" si="44"/>
        <v>-4.997168271313468E-4</v>
      </c>
      <c r="G583" s="5">
        <f t="shared" si="45"/>
        <v>1.5964877270004951E-3</v>
      </c>
    </row>
    <row r="584" spans="1:7" x14ac:dyDescent="0.25">
      <c r="A584" s="1">
        <f t="shared" si="47"/>
        <v>44048</v>
      </c>
      <c r="B584">
        <v>30049</v>
      </c>
      <c r="C584">
        <v>100941</v>
      </c>
      <c r="D584" s="4">
        <f t="shared" si="46"/>
        <v>130990</v>
      </c>
      <c r="F584" s="5">
        <f t="shared" si="44"/>
        <v>5.9938064000530922E-4</v>
      </c>
      <c r="G584" s="5">
        <f t="shared" si="45"/>
        <v>4.8079794541002752E-3</v>
      </c>
    </row>
    <row r="585" spans="1:7" x14ac:dyDescent="0.25">
      <c r="A585" s="1">
        <f t="shared" si="47"/>
        <v>44049</v>
      </c>
      <c r="B585">
        <v>30060</v>
      </c>
      <c r="C585">
        <v>100471</v>
      </c>
      <c r="D585" s="4">
        <f t="shared" si="46"/>
        <v>130531</v>
      </c>
      <c r="F585" s="5">
        <f t="shared" si="44"/>
        <v>7.9904115061935066E-4</v>
      </c>
      <c r="G585" s="5">
        <f t="shared" si="45"/>
        <v>3.2452619176002173E-3</v>
      </c>
    </row>
    <row r="586" spans="1:7" x14ac:dyDescent="0.25">
      <c r="A586" s="1">
        <f t="shared" si="47"/>
        <v>44050</v>
      </c>
      <c r="B586">
        <v>30070</v>
      </c>
      <c r="C586">
        <v>100302</v>
      </c>
      <c r="D586" s="4">
        <f t="shared" si="46"/>
        <v>130372</v>
      </c>
      <c r="F586" s="5">
        <f t="shared" si="44"/>
        <v>-6.6507049747310809E-5</v>
      </c>
      <c r="G586" s="5">
        <f t="shared" si="45"/>
        <v>-1.0059460374689522E-3</v>
      </c>
    </row>
    <row r="587" spans="1:7" x14ac:dyDescent="0.25">
      <c r="A587" s="1">
        <f t="shared" si="47"/>
        <v>44051</v>
      </c>
      <c r="B587">
        <v>30033</v>
      </c>
      <c r="C587">
        <v>100963</v>
      </c>
      <c r="D587" s="4">
        <f t="shared" si="46"/>
        <v>130996</v>
      </c>
      <c r="F587" s="5">
        <f t="shared" si="44"/>
        <v>6.3303791563940059E-4</v>
      </c>
      <c r="G587" s="5">
        <f t="shared" si="45"/>
        <v>6.3192097997588625E-3</v>
      </c>
    </row>
    <row r="588" spans="1:7" x14ac:dyDescent="0.25">
      <c r="A588" s="1">
        <f t="shared" si="47"/>
        <v>44052</v>
      </c>
      <c r="B588">
        <v>30096</v>
      </c>
      <c r="C588">
        <v>100473</v>
      </c>
      <c r="D588" s="4">
        <f t="shared" si="46"/>
        <v>130569</v>
      </c>
      <c r="F588" s="5">
        <f t="shared" si="44"/>
        <v>1.4641288433381305E-3</v>
      </c>
      <c r="G588" s="5">
        <f t="shared" si="45"/>
        <v>1.7947414076755486E-3</v>
      </c>
    </row>
    <row r="589" spans="1:7" x14ac:dyDescent="0.25">
      <c r="A589" s="1">
        <f t="shared" si="47"/>
        <v>44053</v>
      </c>
      <c r="B589">
        <v>30027</v>
      </c>
      <c r="C589">
        <v>100802</v>
      </c>
      <c r="D589" s="4">
        <f t="shared" si="46"/>
        <v>130829</v>
      </c>
      <c r="F589" s="5">
        <f t="shared" si="44"/>
        <v>-2.2926634768739573E-3</v>
      </c>
      <c r="G589" s="5">
        <f t="shared" si="45"/>
        <v>2.3766196314747301E-3</v>
      </c>
    </row>
    <row r="590" spans="1:7" x14ac:dyDescent="0.25">
      <c r="A590" s="1">
        <f t="shared" si="47"/>
        <v>44054</v>
      </c>
      <c r="B590">
        <v>30040</v>
      </c>
      <c r="C590">
        <v>100624</v>
      </c>
      <c r="D590" s="4">
        <f t="shared" si="46"/>
        <v>130664</v>
      </c>
      <c r="F590" s="5">
        <f t="shared" si="44"/>
        <v>1.266582227851476E-3</v>
      </c>
      <c r="G590" s="5">
        <f t="shared" si="45"/>
        <v>2.4307631002191687E-3</v>
      </c>
    </row>
    <row r="591" spans="1:7" x14ac:dyDescent="0.25">
      <c r="A591" s="1">
        <f t="shared" si="47"/>
        <v>44055</v>
      </c>
      <c r="B591">
        <v>30078</v>
      </c>
      <c r="C591">
        <v>100553</v>
      </c>
      <c r="D591" s="4">
        <f t="shared" si="46"/>
        <v>130631</v>
      </c>
      <c r="F591" s="5">
        <f t="shared" si="44"/>
        <v>9.6509035242431374E-4</v>
      </c>
      <c r="G591" s="5">
        <f t="shared" si="45"/>
        <v>-3.8438295638045794E-3</v>
      </c>
    </row>
    <row r="592" spans="1:7" x14ac:dyDescent="0.25">
      <c r="A592" s="1">
        <f t="shared" si="47"/>
        <v>44056</v>
      </c>
      <c r="B592">
        <v>30048</v>
      </c>
      <c r="C592">
        <v>100637</v>
      </c>
      <c r="D592" s="4">
        <f t="shared" si="46"/>
        <v>130685</v>
      </c>
      <c r="F592" s="5">
        <f t="shared" si="44"/>
        <v>-3.9920159680639777E-4</v>
      </c>
      <c r="G592" s="5">
        <f t="shared" si="45"/>
        <v>1.6522180529705555E-3</v>
      </c>
    </row>
    <row r="593" spans="1:7" x14ac:dyDescent="0.25">
      <c r="A593" s="1">
        <f t="shared" si="47"/>
        <v>44057</v>
      </c>
      <c r="B593">
        <v>30021</v>
      </c>
      <c r="C593">
        <v>100247</v>
      </c>
      <c r="D593" s="4">
        <f t="shared" si="46"/>
        <v>130268</v>
      </c>
      <c r="F593" s="5">
        <f t="shared" si="44"/>
        <v>-1.6295310941137897E-3</v>
      </c>
      <c r="G593" s="5">
        <f t="shared" si="45"/>
        <v>-5.4834400111658521E-4</v>
      </c>
    </row>
    <row r="594" spans="1:7" x14ac:dyDescent="0.25">
      <c r="A594" s="1">
        <f t="shared" si="47"/>
        <v>44058</v>
      </c>
      <c r="B594">
        <v>30093</v>
      </c>
      <c r="C594">
        <v>100532</v>
      </c>
      <c r="D594" s="4">
        <f t="shared" si="46"/>
        <v>130625</v>
      </c>
      <c r="F594" s="5">
        <f t="shared" si="44"/>
        <v>1.9978024173408215E-3</v>
      </c>
      <c r="G594" s="5">
        <f t="shared" si="45"/>
        <v>-4.2688905836791857E-3</v>
      </c>
    </row>
    <row r="595" spans="1:7" x14ac:dyDescent="0.25">
      <c r="A595" s="1">
        <f t="shared" si="47"/>
        <v>44059</v>
      </c>
      <c r="B595">
        <v>30089</v>
      </c>
      <c r="C595">
        <v>100927</v>
      </c>
      <c r="D595" s="4">
        <f t="shared" si="46"/>
        <v>131016</v>
      </c>
      <c r="F595" s="5">
        <f t="shared" si="44"/>
        <v>-2.3258904837852867E-4</v>
      </c>
      <c r="G595" s="5">
        <f t="shared" si="45"/>
        <v>4.5186268947876584E-3</v>
      </c>
    </row>
    <row r="596" spans="1:7" x14ac:dyDescent="0.25">
      <c r="A596" s="1">
        <f t="shared" si="47"/>
        <v>44060</v>
      </c>
      <c r="B596">
        <v>30048</v>
      </c>
      <c r="C596">
        <v>100200</v>
      </c>
      <c r="D596" s="4">
        <f t="shared" si="46"/>
        <v>130248</v>
      </c>
      <c r="F596" s="5">
        <f t="shared" ref="F596:F659" si="48">(B596/B589)-1</f>
        <v>6.9937056649016505E-4</v>
      </c>
      <c r="G596" s="5">
        <f t="shared" ref="G596:G659" si="49">(C596/C589)-1</f>
        <v>-5.9721037281006417E-3</v>
      </c>
    </row>
    <row r="597" spans="1:7" x14ac:dyDescent="0.25">
      <c r="A597" s="1">
        <f t="shared" si="47"/>
        <v>44061</v>
      </c>
      <c r="B597">
        <v>30003</v>
      </c>
      <c r="C597">
        <v>100379</v>
      </c>
      <c r="D597" s="4">
        <f t="shared" si="46"/>
        <v>130382</v>
      </c>
      <c r="F597" s="5">
        <f t="shared" si="48"/>
        <v>-1.231691078561914E-3</v>
      </c>
      <c r="G597" s="5">
        <f t="shared" si="49"/>
        <v>-2.4348068055334293E-3</v>
      </c>
    </row>
    <row r="598" spans="1:7" x14ac:dyDescent="0.25">
      <c r="A598" s="1">
        <f t="shared" si="47"/>
        <v>44062</v>
      </c>
      <c r="B598">
        <v>30077</v>
      </c>
      <c r="C598">
        <v>100280</v>
      </c>
      <c r="D598" s="4">
        <f t="shared" si="46"/>
        <v>130357</v>
      </c>
      <c r="F598" s="5">
        <f t="shared" si="48"/>
        <v>-3.3246891415705804E-5</v>
      </c>
      <c r="G598" s="5">
        <f t="shared" si="49"/>
        <v>-2.7149861267192765E-3</v>
      </c>
    </row>
    <row r="599" spans="1:7" x14ac:dyDescent="0.25">
      <c r="A599" s="1">
        <f t="shared" si="47"/>
        <v>44063</v>
      </c>
      <c r="B599">
        <v>30097</v>
      </c>
      <c r="C599">
        <v>100357</v>
      </c>
      <c r="D599" s="4">
        <f t="shared" si="46"/>
        <v>130454</v>
      </c>
      <c r="F599" s="5">
        <f t="shared" si="48"/>
        <v>1.6307241746538192E-3</v>
      </c>
      <c r="G599" s="5">
        <f t="shared" si="49"/>
        <v>-2.7822768961713873E-3</v>
      </c>
    </row>
    <row r="600" spans="1:7" x14ac:dyDescent="0.25">
      <c r="A600" s="1">
        <f t="shared" si="47"/>
        <v>44064</v>
      </c>
      <c r="B600">
        <v>30028</v>
      </c>
      <c r="C600">
        <v>100042</v>
      </c>
      <c r="D600" s="4">
        <f t="shared" si="46"/>
        <v>130070</v>
      </c>
      <c r="F600" s="5">
        <f t="shared" si="48"/>
        <v>2.3317011425327827E-4</v>
      </c>
      <c r="G600" s="5">
        <f t="shared" si="49"/>
        <v>-2.0449489760292483E-3</v>
      </c>
    </row>
    <row r="601" spans="1:7" x14ac:dyDescent="0.25">
      <c r="A601" s="1">
        <f t="shared" si="47"/>
        <v>44065</v>
      </c>
      <c r="B601">
        <v>30092</v>
      </c>
      <c r="C601">
        <v>100622</v>
      </c>
      <c r="D601" s="4">
        <f t="shared" si="46"/>
        <v>130714</v>
      </c>
      <c r="F601" s="5">
        <f t="shared" si="48"/>
        <v>-3.3230319343324766E-5</v>
      </c>
      <c r="G601" s="5">
        <f t="shared" si="49"/>
        <v>8.9523733736518452E-4</v>
      </c>
    </row>
    <row r="602" spans="1:7" x14ac:dyDescent="0.25">
      <c r="A602" s="1">
        <f t="shared" si="47"/>
        <v>44066</v>
      </c>
      <c r="B602">
        <v>30059</v>
      </c>
      <c r="C602">
        <v>100026</v>
      </c>
      <c r="D602" s="4">
        <f t="shared" si="46"/>
        <v>130085</v>
      </c>
      <c r="F602" s="5">
        <f t="shared" si="48"/>
        <v>-9.9704210841167207E-4</v>
      </c>
      <c r="G602" s="5">
        <f t="shared" si="49"/>
        <v>-8.9272444440040566E-3</v>
      </c>
    </row>
    <row r="603" spans="1:7" x14ac:dyDescent="0.25">
      <c r="A603" s="1">
        <f t="shared" si="47"/>
        <v>44067</v>
      </c>
      <c r="B603">
        <v>30036</v>
      </c>
      <c r="C603">
        <v>100894</v>
      </c>
      <c r="D603" s="4">
        <f t="shared" si="46"/>
        <v>130930</v>
      </c>
      <c r="F603" s="5">
        <f t="shared" si="48"/>
        <v>-3.9936102236426407E-4</v>
      </c>
      <c r="G603" s="5">
        <f t="shared" si="49"/>
        <v>6.9261477045907682E-3</v>
      </c>
    </row>
    <row r="604" spans="1:7" x14ac:dyDescent="0.25">
      <c r="A604" s="1">
        <f t="shared" si="47"/>
        <v>44068</v>
      </c>
      <c r="B604">
        <v>30089</v>
      </c>
      <c r="C604">
        <v>100964</v>
      </c>
      <c r="D604" s="4">
        <f t="shared" si="46"/>
        <v>131053</v>
      </c>
      <c r="F604" s="5">
        <f t="shared" si="48"/>
        <v>2.8663800286639063E-3</v>
      </c>
      <c r="G604" s="5">
        <f t="shared" si="49"/>
        <v>5.8279122127138372E-3</v>
      </c>
    </row>
    <row r="605" spans="1:7" x14ac:dyDescent="0.25">
      <c r="A605" s="1">
        <f t="shared" si="47"/>
        <v>44069</v>
      </c>
      <c r="B605">
        <v>30053</v>
      </c>
      <c r="C605">
        <v>100593</v>
      </c>
      <c r="D605" s="4">
        <f t="shared" si="46"/>
        <v>130646</v>
      </c>
      <c r="F605" s="5">
        <f t="shared" si="48"/>
        <v>-7.9795192339660037E-4</v>
      </c>
      <c r="G605" s="5">
        <f t="shared" si="49"/>
        <v>3.1212604706820635E-3</v>
      </c>
    </row>
    <row r="606" spans="1:7" x14ac:dyDescent="0.25">
      <c r="A606" s="1">
        <f t="shared" si="47"/>
        <v>44070</v>
      </c>
      <c r="B606">
        <v>30021</v>
      </c>
      <c r="C606">
        <v>100036</v>
      </c>
      <c r="D606" s="4">
        <f t="shared" si="46"/>
        <v>130057</v>
      </c>
      <c r="F606" s="5">
        <f t="shared" si="48"/>
        <v>-2.5251686214572411E-3</v>
      </c>
      <c r="G606" s="5">
        <f t="shared" si="49"/>
        <v>-3.1985810655957847E-3</v>
      </c>
    </row>
    <row r="607" spans="1:7" x14ac:dyDescent="0.25">
      <c r="A607" s="1">
        <f t="shared" si="47"/>
        <v>44071</v>
      </c>
      <c r="B607">
        <v>30084</v>
      </c>
      <c r="C607">
        <v>100935</v>
      </c>
      <c r="D607" s="4">
        <f t="shared" si="46"/>
        <v>131019</v>
      </c>
      <c r="F607" s="5">
        <f t="shared" si="48"/>
        <v>1.8649260690022373E-3</v>
      </c>
      <c r="G607" s="5">
        <f t="shared" si="49"/>
        <v>8.9262509745906549E-3</v>
      </c>
    </row>
    <row r="608" spans="1:7" x14ac:dyDescent="0.25">
      <c r="A608" s="1">
        <f t="shared" si="47"/>
        <v>44072</v>
      </c>
      <c r="B608">
        <v>30012</v>
      </c>
      <c r="C608">
        <v>100759</v>
      </c>
      <c r="D608" s="4">
        <f t="shared" si="46"/>
        <v>130771</v>
      </c>
      <c r="F608" s="5">
        <f t="shared" si="48"/>
        <v>-2.6585138907351258E-3</v>
      </c>
      <c r="G608" s="5">
        <f t="shared" si="49"/>
        <v>1.3615312754666764E-3</v>
      </c>
    </row>
    <row r="609" spans="1:7" x14ac:dyDescent="0.25">
      <c r="A609" s="1">
        <f t="shared" si="47"/>
        <v>44073</v>
      </c>
      <c r="B609">
        <v>30055</v>
      </c>
      <c r="C609">
        <v>100976</v>
      </c>
      <c r="D609" s="4">
        <f t="shared" si="46"/>
        <v>131031</v>
      </c>
      <c r="F609" s="5">
        <f t="shared" si="48"/>
        <v>-1.3307162580256104E-4</v>
      </c>
      <c r="G609" s="5">
        <f t="shared" si="49"/>
        <v>9.4975306420330696E-3</v>
      </c>
    </row>
    <row r="610" spans="1:7" x14ac:dyDescent="0.25">
      <c r="A610" s="1">
        <f t="shared" si="47"/>
        <v>44074</v>
      </c>
      <c r="B610">
        <v>30072</v>
      </c>
      <c r="C610">
        <v>100607</v>
      </c>
      <c r="D610" s="4">
        <f t="shared" si="46"/>
        <v>130679</v>
      </c>
      <c r="F610" s="5">
        <f t="shared" si="48"/>
        <v>1.198561725928915E-3</v>
      </c>
      <c r="G610" s="5">
        <f t="shared" si="49"/>
        <v>-2.8445695482387512E-3</v>
      </c>
    </row>
    <row r="611" spans="1:7" x14ac:dyDescent="0.25">
      <c r="A611" s="1">
        <f t="shared" si="47"/>
        <v>44075</v>
      </c>
      <c r="B611">
        <v>30082</v>
      </c>
      <c r="C611">
        <v>100606</v>
      </c>
      <c r="D611" s="4">
        <f t="shared" si="46"/>
        <v>130688</v>
      </c>
      <c r="F611" s="5">
        <f t="shared" si="48"/>
        <v>-2.3264315862936424E-4</v>
      </c>
      <c r="G611" s="5">
        <f t="shared" si="49"/>
        <v>-3.5458183114773778E-3</v>
      </c>
    </row>
    <row r="612" spans="1:7" x14ac:dyDescent="0.25">
      <c r="A612" s="1">
        <f t="shared" si="47"/>
        <v>44076</v>
      </c>
      <c r="B612">
        <v>30014</v>
      </c>
      <c r="C612">
        <v>100367</v>
      </c>
      <c r="D612" s="4">
        <f t="shared" si="46"/>
        <v>130381</v>
      </c>
      <c r="F612" s="5">
        <f t="shared" si="48"/>
        <v>-1.2977073836222264E-3</v>
      </c>
      <c r="G612" s="5">
        <f t="shared" si="49"/>
        <v>-2.2466772041792593E-3</v>
      </c>
    </row>
    <row r="613" spans="1:7" x14ac:dyDescent="0.25">
      <c r="A613" s="1">
        <f t="shared" si="47"/>
        <v>44077</v>
      </c>
      <c r="B613">
        <v>30049</v>
      </c>
      <c r="C613">
        <v>100159</v>
      </c>
      <c r="D613" s="4">
        <f t="shared" si="46"/>
        <v>130208</v>
      </c>
      <c r="F613" s="5">
        <f t="shared" si="48"/>
        <v>9.3268045701333513E-4</v>
      </c>
      <c r="G613" s="5">
        <f t="shared" si="49"/>
        <v>1.2295573593505971E-3</v>
      </c>
    </row>
    <row r="614" spans="1:7" x14ac:dyDescent="0.25">
      <c r="A614" s="1">
        <f t="shared" si="47"/>
        <v>44078</v>
      </c>
      <c r="B614">
        <v>30020</v>
      </c>
      <c r="C614">
        <v>100594</v>
      </c>
      <c r="D614" s="4">
        <f t="shared" si="46"/>
        <v>130614</v>
      </c>
      <c r="F614" s="5">
        <f t="shared" si="48"/>
        <v>-2.1273766786331638E-3</v>
      </c>
      <c r="G614" s="5">
        <f t="shared" si="49"/>
        <v>-3.3784118492098392E-3</v>
      </c>
    </row>
    <row r="615" spans="1:7" x14ac:dyDescent="0.25">
      <c r="A615" s="1">
        <f t="shared" si="47"/>
        <v>44079</v>
      </c>
      <c r="B615">
        <v>30075</v>
      </c>
      <c r="C615">
        <v>100323</v>
      </c>
      <c r="D615" s="4">
        <f t="shared" si="46"/>
        <v>130398</v>
      </c>
      <c r="F615" s="5">
        <f t="shared" si="48"/>
        <v>2.0991603358655464E-3</v>
      </c>
      <c r="G615" s="5">
        <f t="shared" si="49"/>
        <v>-4.3271568792861981E-3</v>
      </c>
    </row>
    <row r="616" spans="1:7" x14ac:dyDescent="0.25">
      <c r="A616" s="1">
        <f t="shared" si="47"/>
        <v>44080</v>
      </c>
      <c r="B616">
        <v>30065</v>
      </c>
      <c r="C616">
        <v>100778</v>
      </c>
      <c r="D616" s="4">
        <f t="shared" si="46"/>
        <v>130843</v>
      </c>
      <c r="F616" s="5">
        <f t="shared" si="48"/>
        <v>3.3272334054235131E-4</v>
      </c>
      <c r="G616" s="5">
        <f t="shared" si="49"/>
        <v>-1.9608619870068456E-3</v>
      </c>
    </row>
    <row r="617" spans="1:7" x14ac:dyDescent="0.25">
      <c r="A617" s="1">
        <f t="shared" si="47"/>
        <v>44081</v>
      </c>
      <c r="B617">
        <v>30024</v>
      </c>
      <c r="C617">
        <v>100089</v>
      </c>
      <c r="D617" s="4">
        <f t="shared" si="46"/>
        <v>130113</v>
      </c>
      <c r="F617" s="5">
        <f t="shared" si="48"/>
        <v>-1.5961691939345712E-3</v>
      </c>
      <c r="G617" s="5">
        <f t="shared" si="49"/>
        <v>-5.1487471050721823E-3</v>
      </c>
    </row>
    <row r="618" spans="1:7" x14ac:dyDescent="0.25">
      <c r="A618" s="1">
        <f t="shared" si="47"/>
        <v>44082</v>
      </c>
      <c r="B618">
        <v>30050</v>
      </c>
      <c r="C618">
        <v>100303</v>
      </c>
      <c r="D618" s="4">
        <f t="shared" si="46"/>
        <v>130353</v>
      </c>
      <c r="F618" s="5">
        <f t="shared" si="48"/>
        <v>-1.0637590585732548E-3</v>
      </c>
      <c r="G618" s="5">
        <f t="shared" si="49"/>
        <v>-3.0117488022582961E-3</v>
      </c>
    </row>
    <row r="619" spans="1:7" x14ac:dyDescent="0.25">
      <c r="A619" s="1">
        <f t="shared" si="47"/>
        <v>44083</v>
      </c>
      <c r="B619">
        <v>30100</v>
      </c>
      <c r="C619">
        <v>100128</v>
      </c>
      <c r="D619" s="4">
        <f t="shared" si="46"/>
        <v>130228</v>
      </c>
      <c r="F619" s="5">
        <f t="shared" si="48"/>
        <v>2.8653295128939771E-3</v>
      </c>
      <c r="G619" s="5">
        <f t="shared" si="49"/>
        <v>-2.3812607729631896E-3</v>
      </c>
    </row>
    <row r="620" spans="1:7" x14ac:dyDescent="0.25">
      <c r="A620" s="1">
        <f t="shared" si="47"/>
        <v>44084</v>
      </c>
      <c r="B620">
        <v>30077</v>
      </c>
      <c r="C620">
        <v>100816</v>
      </c>
      <c r="D620" s="4">
        <f t="shared" si="46"/>
        <v>130893</v>
      </c>
      <c r="F620" s="5">
        <f t="shared" si="48"/>
        <v>9.3181137475450981E-4</v>
      </c>
      <c r="G620" s="5">
        <f t="shared" si="49"/>
        <v>6.559570283249716E-3</v>
      </c>
    </row>
    <row r="621" spans="1:7" x14ac:dyDescent="0.25">
      <c r="A621" s="1">
        <f t="shared" si="47"/>
        <v>44085</v>
      </c>
      <c r="B621">
        <v>30010</v>
      </c>
      <c r="C621">
        <v>100252</v>
      </c>
      <c r="D621" s="4">
        <f t="shared" si="46"/>
        <v>130262</v>
      </c>
      <c r="F621" s="5">
        <f t="shared" si="48"/>
        <v>-3.3311125916057893E-4</v>
      </c>
      <c r="G621" s="5">
        <f t="shared" si="49"/>
        <v>-3.3998051573652655E-3</v>
      </c>
    </row>
    <row r="622" spans="1:7" x14ac:dyDescent="0.25">
      <c r="A622" s="1">
        <f t="shared" si="47"/>
        <v>44086</v>
      </c>
      <c r="B622">
        <v>44743</v>
      </c>
      <c r="C622">
        <v>100885</v>
      </c>
      <c r="D622" s="4">
        <f t="shared" si="46"/>
        <v>145628</v>
      </c>
      <c r="F622" s="5">
        <f t="shared" si="48"/>
        <v>0.48771404821280129</v>
      </c>
      <c r="G622" s="5">
        <f t="shared" si="49"/>
        <v>5.6019058441234559E-3</v>
      </c>
    </row>
    <row r="623" spans="1:7" x14ac:dyDescent="0.25">
      <c r="A623" s="1">
        <f t="shared" si="47"/>
        <v>44087</v>
      </c>
      <c r="B623">
        <v>30011</v>
      </c>
      <c r="C623">
        <v>100756</v>
      </c>
      <c r="D623" s="4">
        <f t="shared" si="46"/>
        <v>130767</v>
      </c>
      <c r="F623" s="5">
        <f t="shared" si="48"/>
        <v>-1.7961084317312803E-3</v>
      </c>
      <c r="G623" s="5">
        <f t="shared" si="49"/>
        <v>-2.183016134473803E-4</v>
      </c>
    </row>
    <row r="624" spans="1:7" x14ac:dyDescent="0.25">
      <c r="A624" s="1">
        <f t="shared" si="47"/>
        <v>44088</v>
      </c>
      <c r="B624">
        <v>30045</v>
      </c>
      <c r="C624">
        <v>100009</v>
      </c>
      <c r="D624" s="4">
        <f t="shared" si="46"/>
        <v>130054</v>
      </c>
      <c r="F624" s="5">
        <f t="shared" si="48"/>
        <v>6.9944044764191915E-4</v>
      </c>
      <c r="G624" s="5">
        <f t="shared" si="49"/>
        <v>-7.9928863311651277E-4</v>
      </c>
    </row>
    <row r="625" spans="1:7" x14ac:dyDescent="0.25">
      <c r="A625" s="1">
        <f t="shared" si="47"/>
        <v>44089</v>
      </c>
      <c r="B625">
        <v>30042</v>
      </c>
      <c r="C625">
        <v>100063</v>
      </c>
      <c r="D625" s="4">
        <f t="shared" si="46"/>
        <v>130105</v>
      </c>
      <c r="F625" s="5">
        <f t="shared" si="48"/>
        <v>-2.6622296173040016E-4</v>
      </c>
      <c r="G625" s="5">
        <f t="shared" si="49"/>
        <v>-2.3927499675981956E-3</v>
      </c>
    </row>
    <row r="626" spans="1:7" x14ac:dyDescent="0.25">
      <c r="A626" s="1">
        <f t="shared" si="47"/>
        <v>44090</v>
      </c>
      <c r="B626">
        <v>30071</v>
      </c>
      <c r="C626">
        <v>100452</v>
      </c>
      <c r="D626" s="4">
        <f t="shared" si="46"/>
        <v>130523</v>
      </c>
      <c r="F626" s="5">
        <f t="shared" si="48"/>
        <v>-9.6345514950169076E-4</v>
      </c>
      <c r="G626" s="5">
        <f t="shared" si="49"/>
        <v>3.2358581016298515E-3</v>
      </c>
    </row>
    <row r="627" spans="1:7" x14ac:dyDescent="0.25">
      <c r="A627" s="1">
        <f t="shared" si="47"/>
        <v>44091</v>
      </c>
      <c r="B627">
        <v>30073</v>
      </c>
      <c r="C627">
        <v>100693</v>
      </c>
      <c r="D627" s="4">
        <f t="shared" si="46"/>
        <v>130766</v>
      </c>
      <c r="F627" s="5">
        <f t="shared" si="48"/>
        <v>-1.3299198723282224E-4</v>
      </c>
      <c r="G627" s="5">
        <f t="shared" si="49"/>
        <v>-1.220044437390877E-3</v>
      </c>
    </row>
    <row r="628" spans="1:7" x14ac:dyDescent="0.25">
      <c r="A628" s="1">
        <f t="shared" si="47"/>
        <v>44092</v>
      </c>
      <c r="B628">
        <v>30069</v>
      </c>
      <c r="C628">
        <v>100913</v>
      </c>
      <c r="D628" s="4">
        <f t="shared" si="46"/>
        <v>130982</v>
      </c>
      <c r="F628" s="5">
        <f t="shared" si="48"/>
        <v>1.9660113295567605E-3</v>
      </c>
      <c r="G628" s="5">
        <f t="shared" si="49"/>
        <v>6.5933846706300869E-3</v>
      </c>
    </row>
    <row r="629" spans="1:7" x14ac:dyDescent="0.25">
      <c r="A629" s="1">
        <f t="shared" si="47"/>
        <v>44093</v>
      </c>
      <c r="B629">
        <v>30011</v>
      </c>
      <c r="C629">
        <v>100797</v>
      </c>
      <c r="D629" s="4">
        <f t="shared" si="46"/>
        <v>130808</v>
      </c>
      <c r="F629" s="5">
        <f t="shared" si="48"/>
        <v>-0.32925820798784167</v>
      </c>
      <c r="G629" s="5">
        <f t="shared" si="49"/>
        <v>-8.7228031917530036E-4</v>
      </c>
    </row>
    <row r="630" spans="1:7" x14ac:dyDescent="0.25">
      <c r="A630" s="1">
        <f t="shared" si="47"/>
        <v>44094</v>
      </c>
      <c r="B630">
        <v>30032</v>
      </c>
      <c r="C630">
        <v>100176</v>
      </c>
      <c r="D630" s="4">
        <f t="shared" si="46"/>
        <v>130208</v>
      </c>
      <c r="F630" s="5">
        <f t="shared" si="48"/>
        <v>6.9974342740986017E-4</v>
      </c>
      <c r="G630" s="5">
        <f t="shared" si="49"/>
        <v>-5.7564810036127012E-3</v>
      </c>
    </row>
    <row r="631" spans="1:7" x14ac:dyDescent="0.25">
      <c r="A631" s="1">
        <f t="shared" si="47"/>
        <v>44095</v>
      </c>
      <c r="B631">
        <v>30043</v>
      </c>
      <c r="C631">
        <v>100912</v>
      </c>
      <c r="D631" s="4">
        <f t="shared" si="46"/>
        <v>130955</v>
      </c>
      <c r="F631" s="5">
        <f t="shared" si="48"/>
        <v>-6.6566816442015231E-5</v>
      </c>
      <c r="G631" s="5">
        <f t="shared" si="49"/>
        <v>9.0291873731365158E-3</v>
      </c>
    </row>
    <row r="632" spans="1:7" x14ac:dyDescent="0.25">
      <c r="A632" s="1">
        <f t="shared" si="47"/>
        <v>44096</v>
      </c>
      <c r="B632">
        <v>30000</v>
      </c>
      <c r="C632">
        <v>100868</v>
      </c>
      <c r="D632" s="4">
        <f t="shared" si="46"/>
        <v>130868</v>
      </c>
      <c r="F632" s="5">
        <f t="shared" si="48"/>
        <v>-1.3980427401637519E-3</v>
      </c>
      <c r="G632" s="5">
        <f t="shared" si="49"/>
        <v>8.0449316930333303E-3</v>
      </c>
    </row>
    <row r="633" spans="1:7" x14ac:dyDescent="0.25">
      <c r="A633" s="1">
        <f t="shared" si="47"/>
        <v>44097</v>
      </c>
      <c r="B633">
        <v>30007</v>
      </c>
      <c r="C633">
        <v>100149</v>
      </c>
      <c r="D633" s="4">
        <f t="shared" si="46"/>
        <v>130156</v>
      </c>
      <c r="F633" s="5">
        <f t="shared" si="48"/>
        <v>-2.1282963652689002E-3</v>
      </c>
      <c r="G633" s="5">
        <f t="shared" si="49"/>
        <v>-3.016366025564432E-3</v>
      </c>
    </row>
    <row r="634" spans="1:7" x14ac:dyDescent="0.25">
      <c r="A634" s="1">
        <f t="shared" si="47"/>
        <v>44098</v>
      </c>
      <c r="B634">
        <v>30014</v>
      </c>
      <c r="C634">
        <v>100808</v>
      </c>
      <c r="D634" s="4">
        <f t="shared" si="46"/>
        <v>130822</v>
      </c>
      <c r="F634" s="5">
        <f t="shared" si="48"/>
        <v>-1.9618927276959797E-3</v>
      </c>
      <c r="G634" s="5">
        <f t="shared" si="49"/>
        <v>1.1420853485346605E-3</v>
      </c>
    </row>
    <row r="635" spans="1:7" x14ac:dyDescent="0.25">
      <c r="A635" s="1">
        <f t="shared" si="47"/>
        <v>44099</v>
      </c>
      <c r="B635">
        <v>30082</v>
      </c>
      <c r="C635">
        <v>100073</v>
      </c>
      <c r="D635" s="4">
        <f t="shared" si="46"/>
        <v>130155</v>
      </c>
      <c r="F635" s="5">
        <f t="shared" si="48"/>
        <v>4.3233895373973041E-4</v>
      </c>
      <c r="G635" s="5">
        <f t="shared" si="49"/>
        <v>-8.3240018629908707E-3</v>
      </c>
    </row>
    <row r="636" spans="1:7" x14ac:dyDescent="0.25">
      <c r="A636" s="1">
        <f t="shared" si="47"/>
        <v>44100</v>
      </c>
      <c r="B636">
        <v>30094</v>
      </c>
      <c r="C636">
        <v>100611</v>
      </c>
      <c r="D636" s="4">
        <f t="shared" si="46"/>
        <v>130705</v>
      </c>
      <c r="F636" s="5">
        <f t="shared" si="48"/>
        <v>2.7656525940489285E-3</v>
      </c>
      <c r="G636" s="5">
        <f t="shared" si="49"/>
        <v>-1.8452930146730662E-3</v>
      </c>
    </row>
    <row r="637" spans="1:7" x14ac:dyDescent="0.25">
      <c r="A637" s="1">
        <f t="shared" si="47"/>
        <v>44101</v>
      </c>
      <c r="B637">
        <v>30061</v>
      </c>
      <c r="C637">
        <v>100508</v>
      </c>
      <c r="D637" s="4">
        <f t="shared" si="46"/>
        <v>130569</v>
      </c>
      <c r="F637" s="5">
        <f t="shared" si="48"/>
        <v>9.6563665423543554E-4</v>
      </c>
      <c r="G637" s="5">
        <f t="shared" si="49"/>
        <v>3.314167065963991E-3</v>
      </c>
    </row>
    <row r="638" spans="1:7" x14ac:dyDescent="0.25">
      <c r="A638" s="1">
        <f t="shared" si="47"/>
        <v>44102</v>
      </c>
      <c r="B638">
        <v>30092</v>
      </c>
      <c r="C638">
        <v>100706</v>
      </c>
      <c r="D638" s="4">
        <f t="shared" si="46"/>
        <v>130798</v>
      </c>
      <c r="F638" s="5">
        <f t="shared" si="48"/>
        <v>1.6309955730120507E-3</v>
      </c>
      <c r="G638" s="5">
        <f t="shared" si="49"/>
        <v>-2.0413825907721339E-3</v>
      </c>
    </row>
    <row r="639" spans="1:7" x14ac:dyDescent="0.25">
      <c r="A639" s="1">
        <f t="shared" si="47"/>
        <v>44103</v>
      </c>
      <c r="B639">
        <v>30079</v>
      </c>
      <c r="C639">
        <v>100231</v>
      </c>
      <c r="D639" s="4">
        <f t="shared" si="46"/>
        <v>130310</v>
      </c>
      <c r="F639" s="5">
        <f t="shared" si="48"/>
        <v>2.6333333333332654E-3</v>
      </c>
      <c r="G639" s="5">
        <f t="shared" si="49"/>
        <v>-6.3151842011341941E-3</v>
      </c>
    </row>
    <row r="640" spans="1:7" x14ac:dyDescent="0.25">
      <c r="A640" s="1">
        <f t="shared" si="47"/>
        <v>44104</v>
      </c>
      <c r="B640">
        <v>30028</v>
      </c>
      <c r="C640">
        <v>100732</v>
      </c>
      <c r="D640" s="4">
        <f t="shared" si="46"/>
        <v>130760</v>
      </c>
      <c r="F640" s="5">
        <f t="shared" si="48"/>
        <v>6.998367047688081E-4</v>
      </c>
      <c r="G640" s="5">
        <f t="shared" si="49"/>
        <v>5.821326223926393E-3</v>
      </c>
    </row>
    <row r="641" spans="1:7" x14ac:dyDescent="0.25">
      <c r="A641" s="1">
        <f t="shared" si="47"/>
        <v>44105</v>
      </c>
      <c r="B641">
        <v>30078</v>
      </c>
      <c r="C641">
        <v>100767</v>
      </c>
      <c r="D641" s="4">
        <f t="shared" si="46"/>
        <v>130845</v>
      </c>
      <c r="F641" s="5">
        <f t="shared" si="48"/>
        <v>2.1323382421536419E-3</v>
      </c>
      <c r="G641" s="5">
        <f t="shared" si="49"/>
        <v>-4.0671375287670841E-4</v>
      </c>
    </row>
    <row r="642" spans="1:7" x14ac:dyDescent="0.25">
      <c r="A642" s="1">
        <f t="shared" si="47"/>
        <v>44106</v>
      </c>
      <c r="B642">
        <v>30017</v>
      </c>
      <c r="C642">
        <v>100398</v>
      </c>
      <c r="D642" s="4">
        <f t="shared" si="46"/>
        <v>130415</v>
      </c>
      <c r="F642" s="5">
        <f t="shared" si="48"/>
        <v>-2.160760587726851E-3</v>
      </c>
      <c r="G642" s="5">
        <f t="shared" si="49"/>
        <v>3.2476292306615751E-3</v>
      </c>
    </row>
    <row r="643" spans="1:7" x14ac:dyDescent="0.25">
      <c r="A643" s="1">
        <f t="shared" si="47"/>
        <v>44107</v>
      </c>
      <c r="B643">
        <v>30026</v>
      </c>
      <c r="C643">
        <v>100569</v>
      </c>
      <c r="D643" s="4">
        <f t="shared" ref="D643:D706" si="50">SUM(B643:C643)</f>
        <v>130595</v>
      </c>
      <c r="F643" s="5">
        <f t="shared" si="48"/>
        <v>-2.2595866285638477E-3</v>
      </c>
      <c r="G643" s="5">
        <f t="shared" si="49"/>
        <v>-4.1744938426213629E-4</v>
      </c>
    </row>
    <row r="644" spans="1:7" x14ac:dyDescent="0.25">
      <c r="A644" s="1">
        <f t="shared" ref="A644:A707" si="51">A643+1</f>
        <v>44108</v>
      </c>
      <c r="B644">
        <v>30067</v>
      </c>
      <c r="C644">
        <v>100204</v>
      </c>
      <c r="D644" s="4">
        <f t="shared" si="50"/>
        <v>130271</v>
      </c>
      <c r="F644" s="5">
        <f t="shared" si="48"/>
        <v>1.9959415854420293E-4</v>
      </c>
      <c r="G644" s="5">
        <f t="shared" si="49"/>
        <v>-3.0246348549368696E-3</v>
      </c>
    </row>
    <row r="645" spans="1:7" x14ac:dyDescent="0.25">
      <c r="A645" s="1">
        <f t="shared" si="51"/>
        <v>44109</v>
      </c>
      <c r="B645">
        <v>30058</v>
      </c>
      <c r="C645">
        <v>100165</v>
      </c>
      <c r="D645" s="4">
        <f t="shared" si="50"/>
        <v>130223</v>
      </c>
      <c r="F645" s="5">
        <f t="shared" si="48"/>
        <v>-1.1298684035624396E-3</v>
      </c>
      <c r="G645" s="5">
        <f t="shared" si="49"/>
        <v>-5.3720731634658847E-3</v>
      </c>
    </row>
    <row r="646" spans="1:7" x14ac:dyDescent="0.25">
      <c r="A646" s="1">
        <f t="shared" si="51"/>
        <v>44110</v>
      </c>
      <c r="B646">
        <v>30076</v>
      </c>
      <c r="C646">
        <v>100468</v>
      </c>
      <c r="D646" s="4">
        <f t="shared" si="50"/>
        <v>130544</v>
      </c>
      <c r="F646" s="5">
        <f t="shared" si="48"/>
        <v>-9.973735828983088E-5</v>
      </c>
      <c r="G646" s="5">
        <f t="shared" si="49"/>
        <v>2.3645379174108694E-3</v>
      </c>
    </row>
    <row r="647" spans="1:7" x14ac:dyDescent="0.25">
      <c r="A647" s="1">
        <f t="shared" si="51"/>
        <v>44111</v>
      </c>
      <c r="B647">
        <v>30046</v>
      </c>
      <c r="C647">
        <v>100541</v>
      </c>
      <c r="D647" s="4">
        <f t="shared" si="50"/>
        <v>130587</v>
      </c>
      <c r="F647" s="5">
        <f t="shared" si="48"/>
        <v>5.9944052217919541E-4</v>
      </c>
      <c r="G647" s="5">
        <f t="shared" si="49"/>
        <v>-1.8961203986816999E-3</v>
      </c>
    </row>
    <row r="648" spans="1:7" x14ac:dyDescent="0.25">
      <c r="A648" s="1">
        <f t="shared" si="51"/>
        <v>44112</v>
      </c>
      <c r="B648">
        <v>30005</v>
      </c>
      <c r="C648">
        <v>100400</v>
      </c>
      <c r="D648" s="4">
        <f t="shared" si="50"/>
        <v>130405</v>
      </c>
      <c r="F648" s="5">
        <f t="shared" si="48"/>
        <v>-2.4270230733426379E-3</v>
      </c>
      <c r="G648" s="5">
        <f t="shared" si="49"/>
        <v>-3.6420653586988205E-3</v>
      </c>
    </row>
    <row r="649" spans="1:7" x14ac:dyDescent="0.25">
      <c r="A649" s="1">
        <f t="shared" si="51"/>
        <v>44113</v>
      </c>
      <c r="B649">
        <v>30036</v>
      </c>
      <c r="C649">
        <v>100838</v>
      </c>
      <c r="D649" s="4">
        <f t="shared" si="50"/>
        <v>130874</v>
      </c>
      <c r="F649" s="5">
        <f t="shared" si="48"/>
        <v>6.3297464769962453E-4</v>
      </c>
      <c r="G649" s="5">
        <f t="shared" si="49"/>
        <v>4.3825574214626517E-3</v>
      </c>
    </row>
    <row r="650" spans="1:7" x14ac:dyDescent="0.25">
      <c r="A650" s="1">
        <f t="shared" si="51"/>
        <v>44114</v>
      </c>
      <c r="B650">
        <v>30015</v>
      </c>
      <c r="C650">
        <v>100147</v>
      </c>
      <c r="D650" s="4">
        <f t="shared" si="50"/>
        <v>130162</v>
      </c>
      <c r="F650" s="5">
        <f t="shared" si="48"/>
        <v>-3.6634916405786644E-4</v>
      </c>
      <c r="G650" s="5">
        <f t="shared" si="49"/>
        <v>-4.1961240541319444E-3</v>
      </c>
    </row>
    <row r="651" spans="1:7" x14ac:dyDescent="0.25">
      <c r="A651" s="1">
        <f t="shared" si="51"/>
        <v>44115</v>
      </c>
      <c r="B651">
        <v>30047</v>
      </c>
      <c r="C651">
        <v>100955</v>
      </c>
      <c r="D651" s="4">
        <f t="shared" si="50"/>
        <v>131002</v>
      </c>
      <c r="F651" s="5">
        <f t="shared" si="48"/>
        <v>-6.6518109555324667E-4</v>
      </c>
      <c r="G651" s="5">
        <f t="shared" si="49"/>
        <v>7.4947107899885346E-3</v>
      </c>
    </row>
    <row r="652" spans="1:7" x14ac:dyDescent="0.25">
      <c r="A652" s="1">
        <f t="shared" si="51"/>
        <v>44116</v>
      </c>
      <c r="B652">
        <v>30043</v>
      </c>
      <c r="C652">
        <v>100024</v>
      </c>
      <c r="D652" s="4">
        <f t="shared" si="50"/>
        <v>130067</v>
      </c>
      <c r="F652" s="5">
        <f t="shared" si="48"/>
        <v>-4.9903519861604906E-4</v>
      </c>
      <c r="G652" s="5">
        <f t="shared" si="49"/>
        <v>-1.4076773324015468E-3</v>
      </c>
    </row>
    <row r="653" spans="1:7" x14ac:dyDescent="0.25">
      <c r="A653" s="1">
        <f t="shared" si="51"/>
        <v>44117</v>
      </c>
      <c r="B653">
        <v>30092</v>
      </c>
      <c r="C653">
        <v>100770</v>
      </c>
      <c r="D653" s="4">
        <f t="shared" si="50"/>
        <v>130862</v>
      </c>
      <c r="F653" s="5">
        <f t="shared" si="48"/>
        <v>5.3198563638789942E-4</v>
      </c>
      <c r="G653" s="5">
        <f t="shared" si="49"/>
        <v>3.0059322371303043E-3</v>
      </c>
    </row>
    <row r="654" spans="1:7" x14ac:dyDescent="0.25">
      <c r="A654" s="1">
        <f t="shared" si="51"/>
        <v>44118</v>
      </c>
      <c r="B654">
        <v>30077</v>
      </c>
      <c r="C654">
        <v>100113</v>
      </c>
      <c r="D654" s="4">
        <f t="shared" si="50"/>
        <v>130190</v>
      </c>
      <c r="F654" s="5">
        <f t="shared" si="48"/>
        <v>1.0317513146509416E-3</v>
      </c>
      <c r="G654" s="5">
        <f t="shared" si="49"/>
        <v>-4.2569697934176087E-3</v>
      </c>
    </row>
    <row r="655" spans="1:7" x14ac:dyDescent="0.25">
      <c r="A655" s="1">
        <f t="shared" si="51"/>
        <v>44119</v>
      </c>
      <c r="B655">
        <v>30034</v>
      </c>
      <c r="C655">
        <v>100433</v>
      </c>
      <c r="D655" s="4">
        <f t="shared" si="50"/>
        <v>130467</v>
      </c>
      <c r="F655" s="5">
        <f t="shared" si="48"/>
        <v>9.6650558240285456E-4</v>
      </c>
      <c r="G655" s="5">
        <f t="shared" si="49"/>
        <v>3.2868525896412315E-4</v>
      </c>
    </row>
    <row r="656" spans="1:7" x14ac:dyDescent="0.25">
      <c r="A656" s="1">
        <f t="shared" si="51"/>
        <v>44120</v>
      </c>
      <c r="B656">
        <v>30095</v>
      </c>
      <c r="C656">
        <v>100001</v>
      </c>
      <c r="D656" s="4">
        <f t="shared" si="50"/>
        <v>130096</v>
      </c>
      <c r="F656" s="5">
        <f t="shared" si="48"/>
        <v>1.9643094952723761E-3</v>
      </c>
      <c r="G656" s="5">
        <f t="shared" si="49"/>
        <v>-8.3004422935798461E-3</v>
      </c>
    </row>
    <row r="657" spans="1:7" x14ac:dyDescent="0.25">
      <c r="A657" s="1">
        <f t="shared" si="51"/>
        <v>44121</v>
      </c>
      <c r="B657">
        <v>30036</v>
      </c>
      <c r="C657">
        <v>100220</v>
      </c>
      <c r="D657" s="4">
        <f t="shared" si="50"/>
        <v>130256</v>
      </c>
      <c r="F657" s="5">
        <f t="shared" si="48"/>
        <v>6.9965017491258052E-4</v>
      </c>
      <c r="G657" s="5">
        <f t="shared" si="49"/>
        <v>7.2892847514149928E-4</v>
      </c>
    </row>
    <row r="658" spans="1:7" x14ac:dyDescent="0.25">
      <c r="A658" s="1">
        <f t="shared" si="51"/>
        <v>44122</v>
      </c>
      <c r="B658">
        <v>30032</v>
      </c>
      <c r="C658">
        <v>100959</v>
      </c>
      <c r="D658" s="4">
        <f t="shared" si="50"/>
        <v>130991</v>
      </c>
      <c r="F658" s="5">
        <f t="shared" si="48"/>
        <v>-4.9921789196927246E-4</v>
      </c>
      <c r="G658" s="5">
        <f t="shared" si="49"/>
        <v>3.9621613590279381E-5</v>
      </c>
    </row>
    <row r="659" spans="1:7" x14ac:dyDescent="0.25">
      <c r="A659" s="1">
        <f t="shared" si="51"/>
        <v>44123</v>
      </c>
      <c r="B659">
        <v>30078</v>
      </c>
      <c r="C659">
        <v>100986</v>
      </c>
      <c r="D659" s="4">
        <f t="shared" si="50"/>
        <v>131064</v>
      </c>
      <c r="F659" s="5">
        <f t="shared" si="48"/>
        <v>1.1649968378657505E-3</v>
      </c>
      <c r="G659" s="5">
        <f t="shared" si="49"/>
        <v>9.6176917539789741E-3</v>
      </c>
    </row>
    <row r="660" spans="1:7" x14ac:dyDescent="0.25">
      <c r="A660" s="1">
        <f t="shared" si="51"/>
        <v>44124</v>
      </c>
      <c r="B660">
        <v>30016</v>
      </c>
      <c r="C660">
        <v>100378</v>
      </c>
      <c r="D660" s="4">
        <f t="shared" si="50"/>
        <v>130394</v>
      </c>
      <c r="F660" s="5">
        <f t="shared" ref="F660:F723" si="52">(B660/B653)-1</f>
        <v>-2.5255881961983029E-3</v>
      </c>
      <c r="G660" s="5">
        <f t="shared" ref="G660:G723" si="53">(C660/C653)-1</f>
        <v>-3.8900466408653411E-3</v>
      </c>
    </row>
    <row r="661" spans="1:7" x14ac:dyDescent="0.25">
      <c r="A661" s="1">
        <f t="shared" si="51"/>
        <v>44125</v>
      </c>
      <c r="B661">
        <v>30006</v>
      </c>
      <c r="C661">
        <v>100731</v>
      </c>
      <c r="D661" s="4">
        <f t="shared" si="50"/>
        <v>130737</v>
      </c>
      <c r="F661" s="5">
        <f t="shared" si="52"/>
        <v>-2.3606077733816511E-3</v>
      </c>
      <c r="G661" s="5">
        <f t="shared" si="53"/>
        <v>6.1730244823350322E-3</v>
      </c>
    </row>
    <row r="662" spans="1:7" x14ac:dyDescent="0.25">
      <c r="A662" s="1">
        <f t="shared" si="51"/>
        <v>44126</v>
      </c>
      <c r="B662">
        <v>30047</v>
      </c>
      <c r="C662">
        <v>100224</v>
      </c>
      <c r="D662" s="4">
        <f t="shared" si="50"/>
        <v>130271</v>
      </c>
      <c r="F662" s="5">
        <f t="shared" si="52"/>
        <v>4.3284277818478323E-4</v>
      </c>
      <c r="G662" s="5">
        <f t="shared" si="53"/>
        <v>-2.0809893162605508E-3</v>
      </c>
    </row>
    <row r="663" spans="1:7" x14ac:dyDescent="0.25">
      <c r="A663" s="1">
        <f t="shared" si="51"/>
        <v>44127</v>
      </c>
      <c r="B663">
        <v>30035</v>
      </c>
      <c r="C663">
        <v>100645</v>
      </c>
      <c r="D663" s="4">
        <f t="shared" si="50"/>
        <v>130680</v>
      </c>
      <c r="F663" s="5">
        <f t="shared" si="52"/>
        <v>-1.9936866589134183E-3</v>
      </c>
      <c r="G663" s="5">
        <f t="shared" si="53"/>
        <v>6.4399356006439312E-3</v>
      </c>
    </row>
    <row r="664" spans="1:7" x14ac:dyDescent="0.25">
      <c r="A664" s="1">
        <f t="shared" si="51"/>
        <v>44128</v>
      </c>
      <c r="B664">
        <v>30043</v>
      </c>
      <c r="C664">
        <v>100580</v>
      </c>
      <c r="D664" s="4">
        <f t="shared" si="50"/>
        <v>130623</v>
      </c>
      <c r="F664" s="5">
        <f t="shared" si="52"/>
        <v>2.3305366893056068E-4</v>
      </c>
      <c r="G664" s="5">
        <f t="shared" si="53"/>
        <v>3.5920973857512806E-3</v>
      </c>
    </row>
    <row r="665" spans="1:7" x14ac:dyDescent="0.25">
      <c r="A665" s="1">
        <f t="shared" si="51"/>
        <v>44129</v>
      </c>
      <c r="B665">
        <v>30076</v>
      </c>
      <c r="C665">
        <v>100405</v>
      </c>
      <c r="D665" s="4">
        <f t="shared" si="50"/>
        <v>130481</v>
      </c>
      <c r="F665" s="5">
        <f t="shared" si="52"/>
        <v>1.46510388918486E-3</v>
      </c>
      <c r="G665" s="5">
        <f t="shared" si="53"/>
        <v>-5.487376063550542E-3</v>
      </c>
    </row>
    <row r="666" spans="1:7" x14ac:dyDescent="0.25">
      <c r="A666" s="1">
        <f t="shared" si="51"/>
        <v>44130</v>
      </c>
      <c r="B666">
        <v>30033</v>
      </c>
      <c r="C666">
        <v>100616</v>
      </c>
      <c r="D666" s="4">
        <f t="shared" si="50"/>
        <v>130649</v>
      </c>
      <c r="F666" s="5">
        <f t="shared" si="52"/>
        <v>-1.4961101137043187E-3</v>
      </c>
      <c r="G666" s="5">
        <f t="shared" si="53"/>
        <v>-3.6638742003841651E-3</v>
      </c>
    </row>
    <row r="667" spans="1:7" x14ac:dyDescent="0.25">
      <c r="A667" s="1">
        <f t="shared" si="51"/>
        <v>44131</v>
      </c>
      <c r="B667">
        <v>30089</v>
      </c>
      <c r="C667">
        <v>100000</v>
      </c>
      <c r="D667" s="4">
        <f t="shared" si="50"/>
        <v>130089</v>
      </c>
      <c r="F667" s="5">
        <f t="shared" si="52"/>
        <v>2.432036247334679E-3</v>
      </c>
      <c r="G667" s="5">
        <f t="shared" si="53"/>
        <v>-3.7657654067624335E-3</v>
      </c>
    </row>
    <row r="668" spans="1:7" x14ac:dyDescent="0.25">
      <c r="A668" s="1">
        <f t="shared" si="51"/>
        <v>44132</v>
      </c>
      <c r="B668">
        <v>30046</v>
      </c>
      <c r="C668">
        <v>100395</v>
      </c>
      <c r="D668" s="4">
        <f t="shared" si="50"/>
        <v>130441</v>
      </c>
      <c r="F668" s="5">
        <f t="shared" si="52"/>
        <v>1.3330667199893398E-3</v>
      </c>
      <c r="G668" s="5">
        <f t="shared" si="53"/>
        <v>-3.3356166423444966E-3</v>
      </c>
    </row>
    <row r="669" spans="1:7" x14ac:dyDescent="0.25">
      <c r="A669" s="1">
        <f t="shared" si="51"/>
        <v>44133</v>
      </c>
      <c r="B669">
        <v>30028</v>
      </c>
      <c r="C669">
        <v>100425</v>
      </c>
      <c r="D669" s="4">
        <f t="shared" si="50"/>
        <v>130453</v>
      </c>
      <c r="F669" s="5">
        <f t="shared" si="52"/>
        <v>-6.3234266316103405E-4</v>
      </c>
      <c r="G669" s="5">
        <f t="shared" si="53"/>
        <v>2.0055076628353596E-3</v>
      </c>
    </row>
    <row r="670" spans="1:7" x14ac:dyDescent="0.25">
      <c r="A670" s="1">
        <f t="shared" si="51"/>
        <v>44134</v>
      </c>
      <c r="B670">
        <v>30011</v>
      </c>
      <c r="C670">
        <v>100444</v>
      </c>
      <c r="D670" s="4">
        <f t="shared" si="50"/>
        <v>130455</v>
      </c>
      <c r="F670" s="5">
        <f t="shared" si="52"/>
        <v>-7.990677542866198E-4</v>
      </c>
      <c r="G670" s="5">
        <f t="shared" si="53"/>
        <v>-1.9971185851259676E-3</v>
      </c>
    </row>
    <row r="671" spans="1:7" x14ac:dyDescent="0.25">
      <c r="A671" s="1">
        <f t="shared" si="51"/>
        <v>44135</v>
      </c>
      <c r="B671">
        <v>30075</v>
      </c>
      <c r="C671">
        <v>100071</v>
      </c>
      <c r="D671" s="4">
        <f t="shared" si="50"/>
        <v>130146</v>
      </c>
      <c r="F671" s="5">
        <f t="shared" si="52"/>
        <v>1.0651399660486227E-3</v>
      </c>
      <c r="G671" s="5">
        <f t="shared" si="53"/>
        <v>-5.0606482402067998E-3</v>
      </c>
    </row>
    <row r="672" spans="1:7" x14ac:dyDescent="0.25">
      <c r="A672" s="1">
        <f t="shared" si="51"/>
        <v>44136</v>
      </c>
      <c r="B672">
        <v>30092</v>
      </c>
      <c r="C672">
        <v>100125</v>
      </c>
      <c r="D672" s="4">
        <f t="shared" si="50"/>
        <v>130217</v>
      </c>
      <c r="F672" s="5">
        <f t="shared" si="52"/>
        <v>5.3198563638789942E-4</v>
      </c>
      <c r="G672" s="5">
        <f t="shared" si="53"/>
        <v>-2.7887057417459449E-3</v>
      </c>
    </row>
    <row r="673" spans="1:7" x14ac:dyDescent="0.25">
      <c r="A673" s="1">
        <f t="shared" si="51"/>
        <v>44137</v>
      </c>
      <c r="B673">
        <v>30078</v>
      </c>
      <c r="C673">
        <v>100953</v>
      </c>
      <c r="D673" s="4">
        <f t="shared" si="50"/>
        <v>131031</v>
      </c>
      <c r="F673" s="5">
        <f t="shared" si="52"/>
        <v>1.4983518130056162E-3</v>
      </c>
      <c r="G673" s="5">
        <f t="shared" si="53"/>
        <v>3.3493678937743798E-3</v>
      </c>
    </row>
    <row r="674" spans="1:7" x14ac:dyDescent="0.25">
      <c r="A674" s="1">
        <f t="shared" si="51"/>
        <v>44138</v>
      </c>
      <c r="B674">
        <v>30093</v>
      </c>
      <c r="C674">
        <v>100230</v>
      </c>
      <c r="D674" s="4">
        <f t="shared" si="50"/>
        <v>130323</v>
      </c>
      <c r="F674" s="5">
        <f t="shared" si="52"/>
        <v>1.3293894778820814E-4</v>
      </c>
      <c r="G674" s="5">
        <f t="shared" si="53"/>
        <v>2.2999999999999687E-3</v>
      </c>
    </row>
    <row r="675" spans="1:7" x14ac:dyDescent="0.25">
      <c r="A675" s="1">
        <f t="shared" si="51"/>
        <v>44139</v>
      </c>
      <c r="B675">
        <v>30086</v>
      </c>
      <c r="C675">
        <v>100299</v>
      </c>
      <c r="D675" s="4">
        <f t="shared" si="50"/>
        <v>130385</v>
      </c>
      <c r="F675" s="5">
        <f t="shared" si="52"/>
        <v>1.331292018904362E-3</v>
      </c>
      <c r="G675" s="5">
        <f t="shared" si="53"/>
        <v>-9.5622291946806381E-4</v>
      </c>
    </row>
    <row r="676" spans="1:7" x14ac:dyDescent="0.25">
      <c r="A676" s="1">
        <f t="shared" si="51"/>
        <v>44140</v>
      </c>
      <c r="B676">
        <v>30013</v>
      </c>
      <c r="C676">
        <v>100201</v>
      </c>
      <c r="D676" s="4">
        <f t="shared" si="50"/>
        <v>130214</v>
      </c>
      <c r="F676" s="5">
        <f t="shared" si="52"/>
        <v>-4.9953376848277387E-4</v>
      </c>
      <c r="G676" s="5">
        <f t="shared" si="53"/>
        <v>-2.230520288772686E-3</v>
      </c>
    </row>
    <row r="677" spans="1:7" x14ac:dyDescent="0.25">
      <c r="A677" s="1">
        <f t="shared" si="51"/>
        <v>44141</v>
      </c>
      <c r="B677">
        <v>30012</v>
      </c>
      <c r="C677">
        <v>100486</v>
      </c>
      <c r="D677" s="4">
        <f t="shared" si="50"/>
        <v>130498</v>
      </c>
      <c r="F677" s="5">
        <f t="shared" si="52"/>
        <v>3.3321115590956296E-5</v>
      </c>
      <c r="G677" s="5">
        <f t="shared" si="53"/>
        <v>4.181434431125286E-4</v>
      </c>
    </row>
    <row r="678" spans="1:7" x14ac:dyDescent="0.25">
      <c r="A678" s="1">
        <f t="shared" si="51"/>
        <v>44142</v>
      </c>
      <c r="B678">
        <v>30025</v>
      </c>
      <c r="C678">
        <v>100437</v>
      </c>
      <c r="D678" s="4">
        <f t="shared" si="50"/>
        <v>130462</v>
      </c>
      <c r="F678" s="5">
        <f t="shared" si="52"/>
        <v>-1.6625103906899863E-3</v>
      </c>
      <c r="G678" s="5">
        <f t="shared" si="53"/>
        <v>3.6574032436968995E-3</v>
      </c>
    </row>
    <row r="679" spans="1:7" x14ac:dyDescent="0.25">
      <c r="A679" s="1">
        <f t="shared" si="51"/>
        <v>44143</v>
      </c>
      <c r="B679">
        <v>30055</v>
      </c>
      <c r="C679">
        <v>100596</v>
      </c>
      <c r="D679" s="4">
        <f t="shared" si="50"/>
        <v>130651</v>
      </c>
      <c r="F679" s="5">
        <f t="shared" si="52"/>
        <v>-1.2295626744649457E-3</v>
      </c>
      <c r="G679" s="5">
        <f t="shared" si="53"/>
        <v>4.7041198501873716E-3</v>
      </c>
    </row>
    <row r="680" spans="1:7" x14ac:dyDescent="0.25">
      <c r="A680" s="1">
        <f t="shared" si="51"/>
        <v>44144</v>
      </c>
      <c r="B680">
        <v>30047</v>
      </c>
      <c r="C680">
        <v>100267</v>
      </c>
      <c r="D680" s="4">
        <f t="shared" si="50"/>
        <v>130314</v>
      </c>
      <c r="F680" s="5">
        <f t="shared" si="52"/>
        <v>-1.0306536338852146E-3</v>
      </c>
      <c r="G680" s="5">
        <f t="shared" si="53"/>
        <v>-6.7952413499351438E-3</v>
      </c>
    </row>
    <row r="681" spans="1:7" x14ac:dyDescent="0.25">
      <c r="A681" s="1">
        <f t="shared" si="51"/>
        <v>44145</v>
      </c>
      <c r="B681">
        <v>30098</v>
      </c>
      <c r="C681">
        <v>100401</v>
      </c>
      <c r="D681" s="4">
        <f t="shared" si="50"/>
        <v>130499</v>
      </c>
      <c r="F681" s="5">
        <f t="shared" si="52"/>
        <v>1.6615159671684587E-4</v>
      </c>
      <c r="G681" s="5">
        <f t="shared" si="53"/>
        <v>1.7060760251421669E-3</v>
      </c>
    </row>
    <row r="682" spans="1:7" x14ac:dyDescent="0.25">
      <c r="A682" s="1">
        <f t="shared" si="51"/>
        <v>44146</v>
      </c>
      <c r="B682">
        <v>30051</v>
      </c>
      <c r="C682">
        <v>100447</v>
      </c>
      <c r="D682" s="4">
        <f t="shared" si="50"/>
        <v>130498</v>
      </c>
      <c r="F682" s="5">
        <f t="shared" si="52"/>
        <v>-1.163331782224275E-3</v>
      </c>
      <c r="G682" s="5">
        <f t="shared" si="53"/>
        <v>1.4755879919041703E-3</v>
      </c>
    </row>
    <row r="683" spans="1:7" x14ac:dyDescent="0.25">
      <c r="A683" s="1">
        <f t="shared" si="51"/>
        <v>44147</v>
      </c>
      <c r="B683">
        <v>30004</v>
      </c>
      <c r="C683">
        <v>100444</v>
      </c>
      <c r="D683" s="4">
        <f t="shared" si="50"/>
        <v>130448</v>
      </c>
      <c r="F683" s="5">
        <f t="shared" si="52"/>
        <v>-2.9987005630893737E-4</v>
      </c>
      <c r="G683" s="5">
        <f t="shared" si="53"/>
        <v>2.4251254977494252E-3</v>
      </c>
    </row>
    <row r="684" spans="1:7" x14ac:dyDescent="0.25">
      <c r="A684" s="1">
        <f t="shared" si="51"/>
        <v>44148</v>
      </c>
      <c r="B684">
        <v>30066</v>
      </c>
      <c r="C684">
        <v>100009</v>
      </c>
      <c r="D684" s="4">
        <f t="shared" si="50"/>
        <v>130075</v>
      </c>
      <c r="F684" s="5">
        <f t="shared" si="52"/>
        <v>1.7992802878847858E-3</v>
      </c>
      <c r="G684" s="5">
        <f t="shared" si="53"/>
        <v>-4.7469299205860072E-3</v>
      </c>
    </row>
    <row r="685" spans="1:7" x14ac:dyDescent="0.25">
      <c r="A685" s="1">
        <f t="shared" si="51"/>
        <v>44149</v>
      </c>
      <c r="B685">
        <v>30057</v>
      </c>
      <c r="C685">
        <v>100085</v>
      </c>
      <c r="D685" s="4">
        <f t="shared" si="50"/>
        <v>130142</v>
      </c>
      <c r="F685" s="5">
        <f t="shared" si="52"/>
        <v>1.0657785179017942E-3</v>
      </c>
      <c r="G685" s="5">
        <f t="shared" si="53"/>
        <v>-3.5046845286099693E-3</v>
      </c>
    </row>
    <row r="686" spans="1:7" x14ac:dyDescent="0.25">
      <c r="A686" s="1">
        <f t="shared" si="51"/>
        <v>44150</v>
      </c>
      <c r="B686">
        <v>30057</v>
      </c>
      <c r="C686">
        <v>100862</v>
      </c>
      <c r="D686" s="4">
        <f t="shared" si="50"/>
        <v>130919</v>
      </c>
      <c r="F686" s="5">
        <f t="shared" si="52"/>
        <v>6.6544668108514671E-5</v>
      </c>
      <c r="G686" s="5">
        <f t="shared" si="53"/>
        <v>2.6442403276472071E-3</v>
      </c>
    </row>
    <row r="687" spans="1:7" x14ac:dyDescent="0.25">
      <c r="A687" s="1">
        <f t="shared" si="51"/>
        <v>44151</v>
      </c>
      <c r="B687">
        <v>30098</v>
      </c>
      <c r="C687">
        <v>100141</v>
      </c>
      <c r="D687" s="4">
        <f t="shared" si="50"/>
        <v>130239</v>
      </c>
      <c r="F687" s="5">
        <f t="shared" si="52"/>
        <v>1.6973408326954598E-3</v>
      </c>
      <c r="G687" s="5">
        <f t="shared" si="53"/>
        <v>-1.2566447584948515E-3</v>
      </c>
    </row>
    <row r="688" spans="1:7" x14ac:dyDescent="0.25">
      <c r="A688" s="1">
        <f t="shared" si="51"/>
        <v>44152</v>
      </c>
      <c r="B688">
        <v>30022</v>
      </c>
      <c r="C688">
        <v>100856</v>
      </c>
      <c r="D688" s="4">
        <f t="shared" si="50"/>
        <v>130878</v>
      </c>
      <c r="F688" s="5">
        <f t="shared" si="52"/>
        <v>-2.5250847232374252E-3</v>
      </c>
      <c r="G688" s="5">
        <f t="shared" si="53"/>
        <v>4.5318273722372293E-3</v>
      </c>
    </row>
    <row r="689" spans="1:7" x14ac:dyDescent="0.25">
      <c r="A689" s="1">
        <f t="shared" si="51"/>
        <v>44153</v>
      </c>
      <c r="B689">
        <v>30002</v>
      </c>
      <c r="C689">
        <v>100310</v>
      </c>
      <c r="D689" s="4">
        <f t="shared" si="50"/>
        <v>130312</v>
      </c>
      <c r="F689" s="5">
        <f t="shared" si="52"/>
        <v>-1.6305613789890927E-3</v>
      </c>
      <c r="G689" s="5">
        <f t="shared" si="53"/>
        <v>-1.3639033520165267E-3</v>
      </c>
    </row>
    <row r="690" spans="1:7" x14ac:dyDescent="0.25">
      <c r="A690" s="1">
        <f t="shared" si="51"/>
        <v>44154</v>
      </c>
      <c r="B690">
        <v>30041</v>
      </c>
      <c r="C690">
        <v>100289</v>
      </c>
      <c r="D690" s="4">
        <f t="shared" si="50"/>
        <v>130330</v>
      </c>
      <c r="F690" s="5">
        <f t="shared" si="52"/>
        <v>1.2331689108118216E-3</v>
      </c>
      <c r="G690" s="5">
        <f t="shared" si="53"/>
        <v>-1.543148421010665E-3</v>
      </c>
    </row>
    <row r="691" spans="1:7" x14ac:dyDescent="0.25">
      <c r="A691" s="1">
        <f t="shared" si="51"/>
        <v>44155</v>
      </c>
      <c r="B691">
        <v>30015</v>
      </c>
      <c r="C691">
        <v>100307</v>
      </c>
      <c r="D691" s="4">
        <f t="shared" si="50"/>
        <v>130322</v>
      </c>
      <c r="F691" s="5">
        <f t="shared" si="52"/>
        <v>-1.6962682099381787E-3</v>
      </c>
      <c r="G691" s="5">
        <f t="shared" si="53"/>
        <v>2.9797318241358006E-3</v>
      </c>
    </row>
    <row r="692" spans="1:7" x14ac:dyDescent="0.25">
      <c r="A692" s="1">
        <f t="shared" si="51"/>
        <v>44156</v>
      </c>
      <c r="B692">
        <v>30052</v>
      </c>
      <c r="C692">
        <v>100756</v>
      </c>
      <c r="D692" s="4">
        <f t="shared" si="50"/>
        <v>130808</v>
      </c>
      <c r="F692" s="5">
        <f t="shared" si="52"/>
        <v>-1.6635060052572204E-4</v>
      </c>
      <c r="G692" s="5">
        <f t="shared" si="53"/>
        <v>6.7043013438576882E-3</v>
      </c>
    </row>
    <row r="693" spans="1:7" x14ac:dyDescent="0.25">
      <c r="A693" s="1">
        <f t="shared" si="51"/>
        <v>44157</v>
      </c>
      <c r="B693">
        <v>30050</v>
      </c>
      <c r="C693">
        <v>100554</v>
      </c>
      <c r="D693" s="4">
        <f t="shared" si="50"/>
        <v>130604</v>
      </c>
      <c r="F693" s="5">
        <f t="shared" si="52"/>
        <v>-2.3289084073596644E-4</v>
      </c>
      <c r="G693" s="5">
        <f t="shared" si="53"/>
        <v>-3.0536773016597296E-3</v>
      </c>
    </row>
    <row r="694" spans="1:7" x14ac:dyDescent="0.25">
      <c r="A694" s="1">
        <f t="shared" si="51"/>
        <v>44158</v>
      </c>
      <c r="B694">
        <v>30066</v>
      </c>
      <c r="C694">
        <v>100313</v>
      </c>
      <c r="D694" s="4">
        <f t="shared" si="50"/>
        <v>130379</v>
      </c>
      <c r="F694" s="5">
        <f t="shared" si="52"/>
        <v>-1.0631935676789217E-3</v>
      </c>
      <c r="G694" s="5">
        <f t="shared" si="53"/>
        <v>1.7175782147171859E-3</v>
      </c>
    </row>
    <row r="695" spans="1:7" x14ac:dyDescent="0.25">
      <c r="A695" s="1">
        <f t="shared" si="51"/>
        <v>44159</v>
      </c>
      <c r="B695">
        <v>30090</v>
      </c>
      <c r="C695">
        <v>100170</v>
      </c>
      <c r="D695" s="4">
        <f t="shared" si="50"/>
        <v>130260</v>
      </c>
      <c r="F695" s="5">
        <f t="shared" si="52"/>
        <v>2.2650056625141968E-3</v>
      </c>
      <c r="G695" s="5">
        <f t="shared" si="53"/>
        <v>-6.8017767906718429E-3</v>
      </c>
    </row>
    <row r="696" spans="1:7" x14ac:dyDescent="0.25">
      <c r="A696" s="1">
        <f t="shared" si="51"/>
        <v>44160</v>
      </c>
      <c r="B696">
        <v>30036</v>
      </c>
      <c r="C696">
        <v>100628</v>
      </c>
      <c r="D696" s="4">
        <f t="shared" si="50"/>
        <v>130664</v>
      </c>
      <c r="F696" s="5">
        <f t="shared" si="52"/>
        <v>1.1332577828144785E-3</v>
      </c>
      <c r="G696" s="5">
        <f t="shared" si="53"/>
        <v>3.1701724653574459E-3</v>
      </c>
    </row>
    <row r="697" spans="1:7" x14ac:dyDescent="0.25">
      <c r="A697" s="1">
        <f t="shared" si="51"/>
        <v>44161</v>
      </c>
      <c r="B697">
        <v>30097</v>
      </c>
      <c r="C697">
        <v>100358</v>
      </c>
      <c r="D697" s="4">
        <f t="shared" si="50"/>
        <v>130455</v>
      </c>
      <c r="F697" s="5">
        <f t="shared" si="52"/>
        <v>1.864119037315648E-3</v>
      </c>
      <c r="G697" s="5">
        <f t="shared" si="53"/>
        <v>6.8801164634213485E-4</v>
      </c>
    </row>
    <row r="698" spans="1:7" x14ac:dyDescent="0.25">
      <c r="A698" s="1">
        <f t="shared" si="51"/>
        <v>44162</v>
      </c>
      <c r="B698">
        <v>30081</v>
      </c>
      <c r="C698">
        <v>100133</v>
      </c>
      <c r="D698" s="4">
        <f t="shared" si="50"/>
        <v>130214</v>
      </c>
      <c r="F698" s="5">
        <f t="shared" si="52"/>
        <v>2.1989005497251579E-3</v>
      </c>
      <c r="G698" s="5">
        <f t="shared" si="53"/>
        <v>-1.7346745491341187E-3</v>
      </c>
    </row>
    <row r="699" spans="1:7" x14ac:dyDescent="0.25">
      <c r="A699" s="1">
        <f t="shared" si="51"/>
        <v>44163</v>
      </c>
      <c r="B699">
        <v>30032</v>
      </c>
      <c r="C699">
        <v>100489</v>
      </c>
      <c r="D699" s="4">
        <f t="shared" si="50"/>
        <v>130521</v>
      </c>
      <c r="F699" s="5">
        <f t="shared" si="52"/>
        <v>-6.6551311060825125E-4</v>
      </c>
      <c r="G699" s="5">
        <f t="shared" si="53"/>
        <v>-2.6499662551113801E-3</v>
      </c>
    </row>
    <row r="700" spans="1:7" x14ac:dyDescent="0.25">
      <c r="A700" s="1">
        <f t="shared" si="51"/>
        <v>44164</v>
      </c>
      <c r="B700">
        <v>30060</v>
      </c>
      <c r="C700">
        <v>100348</v>
      </c>
      <c r="D700" s="4">
        <f t="shared" si="50"/>
        <v>130408</v>
      </c>
      <c r="F700" s="5">
        <f t="shared" si="52"/>
        <v>3.3277870216297245E-4</v>
      </c>
      <c r="G700" s="5">
        <f t="shared" si="53"/>
        <v>-2.0486504763609359E-3</v>
      </c>
    </row>
    <row r="701" spans="1:7" x14ac:dyDescent="0.25">
      <c r="A701" s="1">
        <f t="shared" si="51"/>
        <v>44165</v>
      </c>
      <c r="B701">
        <v>30020</v>
      </c>
      <c r="C701">
        <v>100332</v>
      </c>
      <c r="D701" s="4">
        <f t="shared" si="50"/>
        <v>130352</v>
      </c>
      <c r="F701" s="5">
        <f t="shared" si="52"/>
        <v>-1.5299674050421874E-3</v>
      </c>
      <c r="G701" s="5">
        <f t="shared" si="53"/>
        <v>1.8940715560300525E-4</v>
      </c>
    </row>
    <row r="702" spans="1:7" x14ac:dyDescent="0.25">
      <c r="A702" s="1">
        <f t="shared" si="51"/>
        <v>44166</v>
      </c>
      <c r="B702">
        <v>30066</v>
      </c>
      <c r="C702">
        <v>100088</v>
      </c>
      <c r="D702" s="4">
        <f t="shared" si="50"/>
        <v>130154</v>
      </c>
      <c r="F702" s="5">
        <f t="shared" si="52"/>
        <v>-7.9760717846455442E-4</v>
      </c>
      <c r="G702" s="5">
        <f t="shared" si="53"/>
        <v>-8.1860836577818397E-4</v>
      </c>
    </row>
    <row r="703" spans="1:7" x14ac:dyDescent="0.25">
      <c r="A703" s="1">
        <f t="shared" si="51"/>
        <v>44167</v>
      </c>
      <c r="B703">
        <v>30013</v>
      </c>
      <c r="C703">
        <v>100762</v>
      </c>
      <c r="D703" s="4">
        <f t="shared" si="50"/>
        <v>130775</v>
      </c>
      <c r="F703" s="5">
        <f t="shared" si="52"/>
        <v>-7.6574776934346112E-4</v>
      </c>
      <c r="G703" s="5">
        <f t="shared" si="53"/>
        <v>1.3316373176452956E-3</v>
      </c>
    </row>
    <row r="704" spans="1:7" x14ac:dyDescent="0.25">
      <c r="A704" s="1">
        <f t="shared" si="51"/>
        <v>44168</v>
      </c>
      <c r="B704">
        <v>30040</v>
      </c>
      <c r="C704">
        <v>100679</v>
      </c>
      <c r="D704" s="4">
        <f t="shared" si="50"/>
        <v>130719</v>
      </c>
      <c r="F704" s="5">
        <f t="shared" si="52"/>
        <v>-1.8938764660929586E-3</v>
      </c>
      <c r="G704" s="5">
        <f t="shared" si="53"/>
        <v>3.1985491938859578E-3</v>
      </c>
    </row>
    <row r="705" spans="1:7" x14ac:dyDescent="0.25">
      <c r="A705" s="1">
        <f t="shared" si="51"/>
        <v>44169</v>
      </c>
      <c r="B705">
        <v>30039</v>
      </c>
      <c r="C705">
        <v>100912</v>
      </c>
      <c r="D705" s="4">
        <f t="shared" si="50"/>
        <v>130951</v>
      </c>
      <c r="F705" s="5">
        <f t="shared" si="52"/>
        <v>-1.3962301785179765E-3</v>
      </c>
      <c r="G705" s="5">
        <f t="shared" si="53"/>
        <v>7.7796530614282489E-3</v>
      </c>
    </row>
    <row r="706" spans="1:7" x14ac:dyDescent="0.25">
      <c r="A706" s="1">
        <f t="shared" si="51"/>
        <v>44170</v>
      </c>
      <c r="B706">
        <v>30049</v>
      </c>
      <c r="C706">
        <v>100907</v>
      </c>
      <c r="D706" s="4">
        <f t="shared" si="50"/>
        <v>130956</v>
      </c>
      <c r="F706" s="5">
        <f t="shared" si="52"/>
        <v>5.660628662760292E-4</v>
      </c>
      <c r="G706" s="5">
        <f t="shared" si="53"/>
        <v>4.1596592661883314E-3</v>
      </c>
    </row>
    <row r="707" spans="1:7" x14ac:dyDescent="0.25">
      <c r="A707" s="1">
        <f t="shared" si="51"/>
        <v>44171</v>
      </c>
      <c r="B707">
        <v>30037</v>
      </c>
      <c r="C707">
        <v>43009</v>
      </c>
      <c r="D707" s="4">
        <f t="shared" ref="D707:D770" si="54">SUM(B707:C707)</f>
        <v>73046</v>
      </c>
      <c r="F707" s="5">
        <f t="shared" si="52"/>
        <v>-7.6513639387887356E-4</v>
      </c>
      <c r="G707" s="5">
        <f t="shared" si="53"/>
        <v>-0.57140152270100053</v>
      </c>
    </row>
    <row r="708" spans="1:7" x14ac:dyDescent="0.25">
      <c r="A708" s="1">
        <f t="shared" ref="A708:A771" si="55">A707+1</f>
        <v>44172</v>
      </c>
      <c r="B708">
        <v>30007</v>
      </c>
      <c r="C708">
        <v>100858</v>
      </c>
      <c r="D708" s="4">
        <f t="shared" si="54"/>
        <v>130865</v>
      </c>
      <c r="F708" s="5">
        <f t="shared" si="52"/>
        <v>-4.3304463690874151E-4</v>
      </c>
      <c r="G708" s="5">
        <f t="shared" si="53"/>
        <v>5.242594585974647E-3</v>
      </c>
    </row>
    <row r="709" spans="1:7" x14ac:dyDescent="0.25">
      <c r="A709" s="1">
        <f t="shared" si="55"/>
        <v>44173</v>
      </c>
      <c r="B709">
        <v>30015</v>
      </c>
      <c r="C709">
        <v>100374</v>
      </c>
      <c r="D709" s="4">
        <f t="shared" si="54"/>
        <v>130389</v>
      </c>
      <c r="F709" s="5">
        <f t="shared" si="52"/>
        <v>-1.6962682099381787E-3</v>
      </c>
      <c r="G709" s="5">
        <f t="shared" si="53"/>
        <v>2.8574854128367022E-3</v>
      </c>
    </row>
    <row r="710" spans="1:7" x14ac:dyDescent="0.25">
      <c r="A710" s="1">
        <f t="shared" si="55"/>
        <v>44174</v>
      </c>
      <c r="B710">
        <v>30013</v>
      </c>
      <c r="C710">
        <v>100686</v>
      </c>
      <c r="D710" s="4">
        <f t="shared" si="54"/>
        <v>130699</v>
      </c>
      <c r="F710" s="5">
        <f t="shared" si="52"/>
        <v>0</v>
      </c>
      <c r="G710" s="5">
        <f t="shared" si="53"/>
        <v>-7.5425259522443611E-4</v>
      </c>
    </row>
    <row r="711" spans="1:7" x14ac:dyDescent="0.25">
      <c r="A711" s="1">
        <f t="shared" si="55"/>
        <v>44175</v>
      </c>
      <c r="B711">
        <v>30007</v>
      </c>
      <c r="C711">
        <v>100217</v>
      </c>
      <c r="D711" s="4">
        <f t="shared" si="54"/>
        <v>130224</v>
      </c>
      <c r="F711" s="5">
        <f t="shared" si="52"/>
        <v>-1.0985352862850073E-3</v>
      </c>
      <c r="G711" s="5">
        <f t="shared" si="53"/>
        <v>-4.5888417644195378E-3</v>
      </c>
    </row>
    <row r="712" spans="1:7" x14ac:dyDescent="0.25">
      <c r="A712" s="1">
        <f t="shared" si="55"/>
        <v>44176</v>
      </c>
      <c r="B712">
        <v>30042</v>
      </c>
      <c r="C712">
        <v>100474</v>
      </c>
      <c r="D712" s="4">
        <f t="shared" si="54"/>
        <v>130516</v>
      </c>
      <c r="F712" s="5">
        <f t="shared" si="52"/>
        <v>9.987016878065802E-5</v>
      </c>
      <c r="G712" s="5">
        <f t="shared" si="53"/>
        <v>-4.3404154114475846E-3</v>
      </c>
    </row>
    <row r="713" spans="1:7" x14ac:dyDescent="0.25">
      <c r="A713" s="1">
        <f t="shared" si="55"/>
        <v>44177</v>
      </c>
      <c r="B713">
        <v>30000</v>
      </c>
      <c r="C713">
        <v>100069</v>
      </c>
      <c r="D713" s="4">
        <f t="shared" si="54"/>
        <v>130069</v>
      </c>
      <c r="F713" s="5">
        <f t="shared" si="52"/>
        <v>-1.6306699058205032E-3</v>
      </c>
      <c r="G713" s="5">
        <f t="shared" si="53"/>
        <v>-8.304676583388626E-3</v>
      </c>
    </row>
    <row r="714" spans="1:7" x14ac:dyDescent="0.25">
      <c r="A714" s="1">
        <f t="shared" si="55"/>
        <v>44178</v>
      </c>
      <c r="B714">
        <v>30055</v>
      </c>
      <c r="C714">
        <v>100949</v>
      </c>
      <c r="D714" s="4">
        <f t="shared" si="54"/>
        <v>131004</v>
      </c>
      <c r="F714" s="5">
        <f t="shared" si="52"/>
        <v>5.9926091154238748E-4</v>
      </c>
      <c r="G714" s="5">
        <f t="shared" si="53"/>
        <v>1.3471598967657932</v>
      </c>
    </row>
    <row r="715" spans="1:7" x14ac:dyDescent="0.25">
      <c r="A715" s="1">
        <f t="shared" si="55"/>
        <v>44179</v>
      </c>
      <c r="B715">
        <v>30012</v>
      </c>
      <c r="C715">
        <v>100079</v>
      </c>
      <c r="D715" s="4">
        <f t="shared" si="54"/>
        <v>130091</v>
      </c>
      <c r="F715" s="5">
        <f t="shared" si="52"/>
        <v>1.6662778684972679E-4</v>
      </c>
      <c r="G715" s="5">
        <f t="shared" si="53"/>
        <v>-7.7237303932261581E-3</v>
      </c>
    </row>
    <row r="716" spans="1:7" x14ac:dyDescent="0.25">
      <c r="A716" s="1">
        <f t="shared" si="55"/>
        <v>44180</v>
      </c>
      <c r="B716">
        <v>30039</v>
      </c>
      <c r="C716">
        <v>100939</v>
      </c>
      <c r="D716" s="4">
        <f t="shared" si="54"/>
        <v>130978</v>
      </c>
      <c r="F716" s="5">
        <f t="shared" si="52"/>
        <v>7.9960019989999687E-4</v>
      </c>
      <c r="G716" s="5">
        <f t="shared" si="53"/>
        <v>5.6289477354694029E-3</v>
      </c>
    </row>
    <row r="717" spans="1:7" x14ac:dyDescent="0.25">
      <c r="A717" s="1">
        <f t="shared" si="55"/>
        <v>44181</v>
      </c>
      <c r="B717">
        <v>30032</v>
      </c>
      <c r="C717">
        <v>100956</v>
      </c>
      <c r="D717" s="4">
        <f t="shared" si="54"/>
        <v>130988</v>
      </c>
      <c r="F717" s="5">
        <f t="shared" si="52"/>
        <v>6.3305900776322588E-4</v>
      </c>
      <c r="G717" s="5">
        <f t="shared" si="53"/>
        <v>2.6816041952206771E-3</v>
      </c>
    </row>
    <row r="718" spans="1:7" x14ac:dyDescent="0.25">
      <c r="A718" s="1">
        <f t="shared" si="55"/>
        <v>44182</v>
      </c>
      <c r="B718">
        <v>30048</v>
      </c>
      <c r="C718">
        <v>100648</v>
      </c>
      <c r="D718" s="4">
        <f t="shared" si="54"/>
        <v>130696</v>
      </c>
      <c r="F718" s="5">
        <f t="shared" si="52"/>
        <v>1.3663478521679373E-3</v>
      </c>
      <c r="G718" s="5">
        <f t="shared" si="53"/>
        <v>4.3006675514134507E-3</v>
      </c>
    </row>
    <row r="719" spans="1:7" x14ac:dyDescent="0.25">
      <c r="A719" s="1">
        <f t="shared" si="55"/>
        <v>44183</v>
      </c>
      <c r="B719">
        <v>30080</v>
      </c>
      <c r="C719">
        <v>100474</v>
      </c>
      <c r="D719" s="4">
        <f t="shared" si="54"/>
        <v>130554</v>
      </c>
      <c r="F719" s="5">
        <f t="shared" si="52"/>
        <v>1.2648958125291987E-3</v>
      </c>
      <c r="G719" s="5">
        <f t="shared" si="53"/>
        <v>0</v>
      </c>
    </row>
    <row r="720" spans="1:7" x14ac:dyDescent="0.25">
      <c r="A720" s="1">
        <f t="shared" si="55"/>
        <v>44184</v>
      </c>
      <c r="B720">
        <v>30093</v>
      </c>
      <c r="C720">
        <v>100334</v>
      </c>
      <c r="D720" s="4">
        <f t="shared" si="54"/>
        <v>130427</v>
      </c>
      <c r="F720" s="5">
        <f t="shared" si="52"/>
        <v>3.1000000000001027E-3</v>
      </c>
      <c r="G720" s="5">
        <f t="shared" si="53"/>
        <v>2.6481727607949868E-3</v>
      </c>
    </row>
    <row r="721" spans="1:7" x14ac:dyDescent="0.25">
      <c r="A721" s="1">
        <f t="shared" si="55"/>
        <v>44185</v>
      </c>
      <c r="B721">
        <v>11129</v>
      </c>
      <c r="C721">
        <v>100368</v>
      </c>
      <c r="D721" s="4">
        <f t="shared" si="54"/>
        <v>111497</v>
      </c>
      <c r="F721" s="5">
        <f t="shared" si="52"/>
        <v>-0.62971219431043091</v>
      </c>
      <c r="G721" s="5">
        <f t="shared" si="53"/>
        <v>-5.7553814302271356E-3</v>
      </c>
    </row>
    <row r="722" spans="1:7" x14ac:dyDescent="0.25">
      <c r="A722" s="1">
        <f t="shared" si="55"/>
        <v>44186</v>
      </c>
      <c r="B722">
        <v>30045</v>
      </c>
      <c r="C722">
        <v>100546</v>
      </c>
      <c r="D722" s="4">
        <f t="shared" si="54"/>
        <v>130591</v>
      </c>
      <c r="F722" s="5">
        <f t="shared" si="52"/>
        <v>1.0995601759296036E-3</v>
      </c>
      <c r="G722" s="5">
        <f t="shared" si="53"/>
        <v>4.6663136122462312E-3</v>
      </c>
    </row>
    <row r="723" spans="1:7" x14ac:dyDescent="0.25">
      <c r="A723" s="1">
        <f t="shared" si="55"/>
        <v>44187</v>
      </c>
      <c r="B723">
        <v>30011</v>
      </c>
      <c r="C723">
        <v>100486</v>
      </c>
      <c r="D723" s="4">
        <f t="shared" si="54"/>
        <v>130497</v>
      </c>
      <c r="F723" s="5">
        <f t="shared" si="52"/>
        <v>-9.3212157528543838E-4</v>
      </c>
      <c r="G723" s="5">
        <f t="shared" si="53"/>
        <v>-4.4878590039528765E-3</v>
      </c>
    </row>
    <row r="724" spans="1:7" x14ac:dyDescent="0.25">
      <c r="A724" s="1">
        <f t="shared" si="55"/>
        <v>44188</v>
      </c>
      <c r="B724">
        <v>30052</v>
      </c>
      <c r="C724">
        <v>100353</v>
      </c>
      <c r="D724" s="4">
        <f t="shared" si="54"/>
        <v>130405</v>
      </c>
      <c r="F724" s="5">
        <f t="shared" ref="F724:F787" si="56">(B724/B717)-1</f>
        <v>6.6595631326582527E-4</v>
      </c>
      <c r="G724" s="5">
        <f t="shared" ref="G724:G787" si="57">(C724/C717)-1</f>
        <v>-5.9728990847497387E-3</v>
      </c>
    </row>
    <row r="725" spans="1:7" x14ac:dyDescent="0.25">
      <c r="A725" s="1">
        <f t="shared" si="55"/>
        <v>44189</v>
      </c>
      <c r="B725">
        <v>30064</v>
      </c>
      <c r="C725">
        <v>100651</v>
      </c>
      <c r="D725" s="4">
        <f t="shared" si="54"/>
        <v>130715</v>
      </c>
      <c r="F725" s="5">
        <f t="shared" si="56"/>
        <v>5.3248136315220407E-4</v>
      </c>
      <c r="G725" s="5">
        <f t="shared" si="57"/>
        <v>2.9806851601588136E-5</v>
      </c>
    </row>
    <row r="726" spans="1:7" x14ac:dyDescent="0.25">
      <c r="A726" s="1">
        <f t="shared" si="55"/>
        <v>44190</v>
      </c>
      <c r="B726">
        <v>30085</v>
      </c>
      <c r="C726">
        <v>100324</v>
      </c>
      <c r="D726" s="4">
        <f t="shared" si="54"/>
        <v>130409</v>
      </c>
      <c r="F726" s="5">
        <f t="shared" si="56"/>
        <v>1.6622340425542781E-4</v>
      </c>
      <c r="G726" s="5">
        <f t="shared" si="57"/>
        <v>-1.4929235424089304E-3</v>
      </c>
    </row>
    <row r="727" spans="1:7" x14ac:dyDescent="0.25">
      <c r="A727" s="1">
        <f t="shared" si="55"/>
        <v>44191</v>
      </c>
      <c r="B727">
        <v>30060</v>
      </c>
      <c r="C727">
        <v>100347</v>
      </c>
      <c r="D727" s="4">
        <f t="shared" si="54"/>
        <v>130407</v>
      </c>
      <c r="F727" s="5">
        <f t="shared" si="56"/>
        <v>-1.0966005383311606E-3</v>
      </c>
      <c r="G727" s="5">
        <f t="shared" si="57"/>
        <v>1.2956724540025277E-4</v>
      </c>
    </row>
    <row r="728" spans="1:7" x14ac:dyDescent="0.25">
      <c r="A728" s="1">
        <f t="shared" si="55"/>
        <v>44192</v>
      </c>
      <c r="B728">
        <v>30042</v>
      </c>
      <c r="C728">
        <v>100723</v>
      </c>
      <c r="D728" s="4">
        <f t="shared" si="54"/>
        <v>130765</v>
      </c>
      <c r="F728" s="5">
        <f t="shared" si="56"/>
        <v>1.6994339114026418</v>
      </c>
      <c r="G728" s="5">
        <f t="shared" si="57"/>
        <v>3.536983899250723E-3</v>
      </c>
    </row>
    <row r="729" spans="1:7" x14ac:dyDescent="0.25">
      <c r="A729" s="1">
        <f t="shared" si="55"/>
        <v>44193</v>
      </c>
      <c r="B729">
        <v>30021</v>
      </c>
      <c r="C729">
        <v>100234</v>
      </c>
      <c r="D729" s="4">
        <f t="shared" si="54"/>
        <v>130255</v>
      </c>
      <c r="F729" s="5">
        <f t="shared" si="56"/>
        <v>-7.9880179730407175E-4</v>
      </c>
      <c r="G729" s="5">
        <f t="shared" si="57"/>
        <v>-3.1030573071032519E-3</v>
      </c>
    </row>
    <row r="730" spans="1:7" x14ac:dyDescent="0.25">
      <c r="A730" s="1">
        <f t="shared" si="55"/>
        <v>44194</v>
      </c>
      <c r="B730">
        <v>30048</v>
      </c>
      <c r="C730">
        <v>100316</v>
      </c>
      <c r="D730" s="4">
        <f t="shared" si="54"/>
        <v>130364</v>
      </c>
      <c r="F730" s="5">
        <f t="shared" si="56"/>
        <v>1.2328812768651609E-3</v>
      </c>
      <c r="G730" s="5">
        <f t="shared" si="57"/>
        <v>-1.6917779591186788E-3</v>
      </c>
    </row>
    <row r="731" spans="1:7" x14ac:dyDescent="0.25">
      <c r="A731" s="1">
        <f t="shared" si="55"/>
        <v>44195</v>
      </c>
      <c r="B731">
        <v>30004</v>
      </c>
      <c r="C731">
        <v>100822</v>
      </c>
      <c r="D731" s="4">
        <f t="shared" si="54"/>
        <v>130826</v>
      </c>
      <c r="F731" s="5">
        <f t="shared" si="56"/>
        <v>-1.5972314654598696E-3</v>
      </c>
      <c r="G731" s="5">
        <f t="shared" si="57"/>
        <v>4.6735025360478133E-3</v>
      </c>
    </row>
    <row r="732" spans="1:7" x14ac:dyDescent="0.25">
      <c r="A732" s="1">
        <f t="shared" si="55"/>
        <v>44196</v>
      </c>
      <c r="B732">
        <v>30015</v>
      </c>
      <c r="C732">
        <v>100167</v>
      </c>
      <c r="D732" s="4">
        <f t="shared" si="54"/>
        <v>130182</v>
      </c>
      <c r="F732" s="5">
        <f t="shared" si="56"/>
        <v>-1.6298563065459959E-3</v>
      </c>
      <c r="G732" s="5">
        <f t="shared" si="57"/>
        <v>-4.8086953929916687E-3</v>
      </c>
    </row>
    <row r="733" spans="1:7" x14ac:dyDescent="0.25">
      <c r="A733" s="1">
        <f t="shared" si="55"/>
        <v>44197</v>
      </c>
      <c r="B733">
        <v>30058</v>
      </c>
      <c r="C733">
        <v>100938</v>
      </c>
      <c r="D733" s="4">
        <f t="shared" si="54"/>
        <v>130996</v>
      </c>
      <c r="F733" s="5">
        <f t="shared" si="56"/>
        <v>-8.974572045870044E-4</v>
      </c>
      <c r="G733" s="5">
        <f t="shared" si="57"/>
        <v>6.1201706471034623E-3</v>
      </c>
    </row>
    <row r="734" spans="1:7" x14ac:dyDescent="0.25">
      <c r="A734" s="1">
        <f t="shared" si="55"/>
        <v>44198</v>
      </c>
      <c r="B734">
        <v>30050</v>
      </c>
      <c r="C734">
        <v>100692</v>
      </c>
      <c r="D734" s="4">
        <f t="shared" si="54"/>
        <v>130742</v>
      </c>
      <c r="F734" s="5">
        <f t="shared" si="56"/>
        <v>-3.3266799733866481E-4</v>
      </c>
      <c r="G734" s="5">
        <f t="shared" si="57"/>
        <v>3.4380698974558754E-3</v>
      </c>
    </row>
    <row r="735" spans="1:7" x14ac:dyDescent="0.25">
      <c r="A735" s="1">
        <f t="shared" si="55"/>
        <v>44199</v>
      </c>
      <c r="B735">
        <v>30094</v>
      </c>
      <c r="C735">
        <v>100027</v>
      </c>
      <c r="D735" s="4">
        <f t="shared" si="54"/>
        <v>130121</v>
      </c>
      <c r="F735" s="5">
        <f t="shared" si="56"/>
        <v>1.7309100592504123E-3</v>
      </c>
      <c r="G735" s="5">
        <f t="shared" si="57"/>
        <v>-6.9100404078512589E-3</v>
      </c>
    </row>
    <row r="736" spans="1:7" x14ac:dyDescent="0.25">
      <c r="A736" s="1">
        <f t="shared" si="55"/>
        <v>44200</v>
      </c>
      <c r="B736">
        <v>30073</v>
      </c>
      <c r="C736">
        <v>100104</v>
      </c>
      <c r="D736" s="4">
        <f t="shared" si="54"/>
        <v>130177</v>
      </c>
      <c r="F736" s="5">
        <f t="shared" si="56"/>
        <v>1.7321208487393047E-3</v>
      </c>
      <c r="G736" s="5">
        <f t="shared" si="57"/>
        <v>-1.2969651016621064E-3</v>
      </c>
    </row>
    <row r="737" spans="1:7" x14ac:dyDescent="0.25">
      <c r="A737" s="1">
        <f t="shared" si="55"/>
        <v>44201</v>
      </c>
      <c r="B737">
        <v>30033</v>
      </c>
      <c r="C737">
        <v>100038</v>
      </c>
      <c r="D737" s="4">
        <f t="shared" si="54"/>
        <v>130071</v>
      </c>
      <c r="F737" s="5">
        <f t="shared" si="56"/>
        <v>-4.9920127795521907E-4</v>
      </c>
      <c r="G737" s="5">
        <f t="shared" si="57"/>
        <v>-2.7712428725228389E-3</v>
      </c>
    </row>
    <row r="738" spans="1:7" x14ac:dyDescent="0.25">
      <c r="A738" s="1">
        <f t="shared" si="55"/>
        <v>44202</v>
      </c>
      <c r="B738">
        <v>30022</v>
      </c>
      <c r="C738">
        <v>100044</v>
      </c>
      <c r="D738" s="4">
        <f t="shared" si="54"/>
        <v>130066</v>
      </c>
      <c r="F738" s="5">
        <f t="shared" si="56"/>
        <v>5.9992001066522249E-4</v>
      </c>
      <c r="G738" s="5">
        <f t="shared" si="57"/>
        <v>-7.7165697962746638E-3</v>
      </c>
    </row>
    <row r="739" spans="1:7" x14ac:dyDescent="0.25">
      <c r="A739" s="1">
        <f t="shared" si="55"/>
        <v>44203</v>
      </c>
      <c r="B739">
        <v>30045</v>
      </c>
      <c r="C739">
        <v>100589</v>
      </c>
      <c r="D739" s="4">
        <f t="shared" si="54"/>
        <v>130634</v>
      </c>
      <c r="F739" s="5">
        <f t="shared" si="56"/>
        <v>9.9950024987505159E-4</v>
      </c>
      <c r="G739" s="5">
        <f t="shared" si="57"/>
        <v>4.21296434953633E-3</v>
      </c>
    </row>
    <row r="740" spans="1:7" x14ac:dyDescent="0.25">
      <c r="A740" s="1">
        <f t="shared" si="55"/>
        <v>44204</v>
      </c>
      <c r="B740">
        <v>30092</v>
      </c>
      <c r="C740">
        <v>100336</v>
      </c>
      <c r="D740" s="4">
        <f t="shared" si="54"/>
        <v>130428</v>
      </c>
      <c r="F740" s="5">
        <f t="shared" si="56"/>
        <v>1.1311464501961854E-3</v>
      </c>
      <c r="G740" s="5">
        <f t="shared" si="57"/>
        <v>-5.9640571439893986E-3</v>
      </c>
    </row>
    <row r="741" spans="1:7" x14ac:dyDescent="0.25">
      <c r="A741" s="1">
        <f t="shared" si="55"/>
        <v>44205</v>
      </c>
      <c r="B741">
        <v>30052</v>
      </c>
      <c r="C741">
        <v>100000</v>
      </c>
      <c r="D741" s="4">
        <f t="shared" si="54"/>
        <v>130052</v>
      </c>
      <c r="F741" s="5">
        <f t="shared" si="56"/>
        <v>6.6555740432683308E-5</v>
      </c>
      <c r="G741" s="5">
        <f t="shared" si="57"/>
        <v>-6.872442696539971E-3</v>
      </c>
    </row>
    <row r="742" spans="1:7" x14ac:dyDescent="0.25">
      <c r="A742" s="1">
        <f t="shared" si="55"/>
        <v>44206</v>
      </c>
      <c r="B742">
        <v>30059</v>
      </c>
      <c r="C742">
        <v>100857</v>
      </c>
      <c r="D742" s="4">
        <f t="shared" si="54"/>
        <v>130916</v>
      </c>
      <c r="F742" s="5">
        <f t="shared" si="56"/>
        <v>-1.1630225294078089E-3</v>
      </c>
      <c r="G742" s="5">
        <f t="shared" si="57"/>
        <v>8.2977596049067515E-3</v>
      </c>
    </row>
    <row r="743" spans="1:7" x14ac:dyDescent="0.25">
      <c r="A743" s="1">
        <f t="shared" si="55"/>
        <v>44207</v>
      </c>
      <c r="B743">
        <v>30011</v>
      </c>
      <c r="C743">
        <v>100916</v>
      </c>
      <c r="D743" s="4">
        <f t="shared" si="54"/>
        <v>130927</v>
      </c>
      <c r="F743" s="5">
        <f t="shared" si="56"/>
        <v>-2.06164998503644E-3</v>
      </c>
      <c r="G743" s="5">
        <f t="shared" si="57"/>
        <v>8.1115639734676837E-3</v>
      </c>
    </row>
    <row r="744" spans="1:7" x14ac:dyDescent="0.25">
      <c r="A744" s="1">
        <f t="shared" si="55"/>
        <v>44208</v>
      </c>
      <c r="B744">
        <v>30065</v>
      </c>
      <c r="C744">
        <v>37145</v>
      </c>
      <c r="D744" s="4">
        <f t="shared" si="54"/>
        <v>67210</v>
      </c>
      <c r="F744" s="5">
        <f t="shared" si="56"/>
        <v>1.0654946225818751E-3</v>
      </c>
      <c r="G744" s="5">
        <f t="shared" si="57"/>
        <v>-0.62869109738299445</v>
      </c>
    </row>
    <row r="745" spans="1:7" x14ac:dyDescent="0.25">
      <c r="A745" s="1">
        <f t="shared" si="55"/>
        <v>44209</v>
      </c>
      <c r="B745">
        <v>30068</v>
      </c>
      <c r="C745">
        <v>100542</v>
      </c>
      <c r="D745" s="4">
        <f t="shared" si="54"/>
        <v>130610</v>
      </c>
      <c r="F745" s="5">
        <f t="shared" si="56"/>
        <v>1.5322097128771528E-3</v>
      </c>
      <c r="G745" s="5">
        <f t="shared" si="57"/>
        <v>4.9778097637038776E-3</v>
      </c>
    </row>
    <row r="746" spans="1:7" x14ac:dyDescent="0.25">
      <c r="A746" s="1">
        <f t="shared" si="55"/>
        <v>44210</v>
      </c>
      <c r="B746">
        <v>30094</v>
      </c>
      <c r="C746">
        <v>100190</v>
      </c>
      <c r="D746" s="4">
        <f t="shared" si="54"/>
        <v>130284</v>
      </c>
      <c r="F746" s="5">
        <f t="shared" si="56"/>
        <v>1.6308870028289846E-3</v>
      </c>
      <c r="G746" s="5">
        <f t="shared" si="57"/>
        <v>-3.9666365109505275E-3</v>
      </c>
    </row>
    <row r="747" spans="1:7" x14ac:dyDescent="0.25">
      <c r="A747" s="1">
        <f t="shared" si="55"/>
        <v>44211</v>
      </c>
      <c r="B747">
        <v>30001</v>
      </c>
      <c r="C747">
        <v>100707</v>
      </c>
      <c r="D747" s="4">
        <f t="shared" si="54"/>
        <v>130708</v>
      </c>
      <c r="F747" s="5">
        <f t="shared" si="56"/>
        <v>-3.0240595507111667E-3</v>
      </c>
      <c r="G747" s="5">
        <f t="shared" si="57"/>
        <v>3.6975761441555566E-3</v>
      </c>
    </row>
    <row r="748" spans="1:7" x14ac:dyDescent="0.25">
      <c r="A748" s="1">
        <f t="shared" si="55"/>
        <v>44212</v>
      </c>
      <c r="B748">
        <v>30074</v>
      </c>
      <c r="C748">
        <v>100859</v>
      </c>
      <c r="D748" s="4">
        <f t="shared" si="54"/>
        <v>130933</v>
      </c>
      <c r="F748" s="5">
        <f t="shared" si="56"/>
        <v>7.3206442166906527E-4</v>
      </c>
      <c r="G748" s="5">
        <f t="shared" si="57"/>
        <v>8.5900000000000976E-3</v>
      </c>
    </row>
    <row r="749" spans="1:7" x14ac:dyDescent="0.25">
      <c r="A749" s="1">
        <f t="shared" si="55"/>
        <v>44213</v>
      </c>
      <c r="B749">
        <v>30094</v>
      </c>
      <c r="C749">
        <v>100030</v>
      </c>
      <c r="D749" s="4">
        <f t="shared" si="54"/>
        <v>130124</v>
      </c>
      <c r="F749" s="5">
        <f t="shared" si="56"/>
        <v>1.1643767257727422E-3</v>
      </c>
      <c r="G749" s="5">
        <f t="shared" si="57"/>
        <v>-8.1997283282271294E-3</v>
      </c>
    </row>
    <row r="750" spans="1:7" x14ac:dyDescent="0.25">
      <c r="A750" s="1">
        <f t="shared" si="55"/>
        <v>44214</v>
      </c>
      <c r="B750">
        <v>30072</v>
      </c>
      <c r="C750">
        <v>100817</v>
      </c>
      <c r="D750" s="4">
        <f t="shared" si="54"/>
        <v>130889</v>
      </c>
      <c r="F750" s="5">
        <f t="shared" si="56"/>
        <v>2.03258805104789E-3</v>
      </c>
      <c r="G750" s="5">
        <f t="shared" si="57"/>
        <v>-9.8101391256089077E-4</v>
      </c>
    </row>
    <row r="751" spans="1:7" x14ac:dyDescent="0.25">
      <c r="A751" s="1">
        <f t="shared" si="55"/>
        <v>44215</v>
      </c>
      <c r="B751">
        <v>30097</v>
      </c>
      <c r="C751">
        <v>100784</v>
      </c>
      <c r="D751" s="4">
        <f t="shared" si="54"/>
        <v>130881</v>
      </c>
      <c r="F751" s="5">
        <f t="shared" si="56"/>
        <v>1.0643605521369892E-3</v>
      </c>
      <c r="G751" s="5">
        <f t="shared" si="57"/>
        <v>1.7132588504509356</v>
      </c>
    </row>
    <row r="752" spans="1:7" x14ac:dyDescent="0.25">
      <c r="A752" s="1">
        <f t="shared" si="55"/>
        <v>44216</v>
      </c>
      <c r="B752">
        <v>30012</v>
      </c>
      <c r="C752">
        <v>100095</v>
      </c>
      <c r="D752" s="4">
        <f t="shared" si="54"/>
        <v>130107</v>
      </c>
      <c r="F752" s="5">
        <f t="shared" si="56"/>
        <v>-1.8624451243847151E-3</v>
      </c>
      <c r="G752" s="5">
        <f t="shared" si="57"/>
        <v>-4.4459032046308966E-3</v>
      </c>
    </row>
    <row r="753" spans="1:7" x14ac:dyDescent="0.25">
      <c r="A753" s="1">
        <f t="shared" si="55"/>
        <v>44217</v>
      </c>
      <c r="B753">
        <v>30052</v>
      </c>
      <c r="C753">
        <v>100160</v>
      </c>
      <c r="D753" s="4">
        <f t="shared" si="54"/>
        <v>130212</v>
      </c>
      <c r="F753" s="5">
        <f t="shared" si="56"/>
        <v>-1.3956270352893929E-3</v>
      </c>
      <c r="G753" s="5">
        <f t="shared" si="57"/>
        <v>-2.9943108094621085E-4</v>
      </c>
    </row>
    <row r="754" spans="1:7" x14ac:dyDescent="0.25">
      <c r="A754" s="1">
        <f t="shared" si="55"/>
        <v>44218</v>
      </c>
      <c r="B754">
        <v>30067</v>
      </c>
      <c r="C754">
        <v>100363</v>
      </c>
      <c r="D754" s="4">
        <f t="shared" si="54"/>
        <v>130430</v>
      </c>
      <c r="F754" s="5">
        <f t="shared" si="56"/>
        <v>2.199926669111063E-3</v>
      </c>
      <c r="G754" s="5">
        <f t="shared" si="57"/>
        <v>-3.4158499409177034E-3</v>
      </c>
    </row>
    <row r="755" spans="1:7" x14ac:dyDescent="0.25">
      <c r="A755" s="1">
        <f t="shared" si="55"/>
        <v>44219</v>
      </c>
      <c r="B755">
        <v>30079</v>
      </c>
      <c r="C755">
        <v>100383</v>
      </c>
      <c r="D755" s="4">
        <f t="shared" si="54"/>
        <v>130462</v>
      </c>
      <c r="F755" s="5">
        <f t="shared" si="56"/>
        <v>1.6625656713431525E-4</v>
      </c>
      <c r="G755" s="5">
        <f t="shared" si="57"/>
        <v>-4.7194598399745713E-3</v>
      </c>
    </row>
    <row r="756" spans="1:7" x14ac:dyDescent="0.25">
      <c r="A756" s="1">
        <f t="shared" si="55"/>
        <v>44220</v>
      </c>
      <c r="B756">
        <v>30042</v>
      </c>
      <c r="C756">
        <v>100751</v>
      </c>
      <c r="D756" s="4">
        <f t="shared" si="54"/>
        <v>130793</v>
      </c>
      <c r="F756" s="5">
        <f t="shared" si="56"/>
        <v>-1.7279191865487986E-3</v>
      </c>
      <c r="G756" s="5">
        <f t="shared" si="57"/>
        <v>7.2078376487054729E-3</v>
      </c>
    </row>
    <row r="757" spans="1:7" x14ac:dyDescent="0.25">
      <c r="A757" s="1">
        <f t="shared" si="55"/>
        <v>44221</v>
      </c>
      <c r="B757">
        <v>30020</v>
      </c>
      <c r="C757">
        <v>100803</v>
      </c>
      <c r="D757" s="4">
        <f t="shared" si="54"/>
        <v>130823</v>
      </c>
      <c r="F757" s="5">
        <f t="shared" si="56"/>
        <v>-1.7291832934290818E-3</v>
      </c>
      <c r="G757" s="5">
        <f t="shared" si="57"/>
        <v>-1.388654691173441E-4</v>
      </c>
    </row>
    <row r="758" spans="1:7" x14ac:dyDescent="0.25">
      <c r="A758" s="1">
        <f t="shared" si="55"/>
        <v>44222</v>
      </c>
      <c r="B758">
        <v>30085</v>
      </c>
      <c r="C758">
        <v>100283</v>
      </c>
      <c r="D758" s="4">
        <f t="shared" si="54"/>
        <v>130368</v>
      </c>
      <c r="F758" s="5">
        <f t="shared" si="56"/>
        <v>-3.9871083496689774E-4</v>
      </c>
      <c r="G758" s="5">
        <f t="shared" si="57"/>
        <v>-4.9710271471662404E-3</v>
      </c>
    </row>
    <row r="759" spans="1:7" x14ac:dyDescent="0.25">
      <c r="A759" s="1">
        <f t="shared" si="55"/>
        <v>44223</v>
      </c>
      <c r="B759">
        <v>30095</v>
      </c>
      <c r="C759">
        <v>100163</v>
      </c>
      <c r="D759" s="4">
        <f t="shared" si="54"/>
        <v>130258</v>
      </c>
      <c r="F759" s="5">
        <f t="shared" si="56"/>
        <v>2.7655604424896563E-3</v>
      </c>
      <c r="G759" s="5">
        <f t="shared" si="57"/>
        <v>6.7935461311763312E-4</v>
      </c>
    </row>
    <row r="760" spans="1:7" x14ac:dyDescent="0.25">
      <c r="A760" s="1">
        <f t="shared" si="55"/>
        <v>44224</v>
      </c>
      <c r="B760">
        <v>30077</v>
      </c>
      <c r="C760">
        <v>100852</v>
      </c>
      <c r="D760" s="4">
        <f t="shared" si="54"/>
        <v>130929</v>
      </c>
      <c r="F760" s="5">
        <f t="shared" si="56"/>
        <v>8.3189138826034181E-4</v>
      </c>
      <c r="G760" s="5">
        <f t="shared" si="57"/>
        <v>6.9089456869009247E-3</v>
      </c>
    </row>
    <row r="761" spans="1:7" x14ac:dyDescent="0.25">
      <c r="A761" s="1">
        <f t="shared" si="55"/>
        <v>44225</v>
      </c>
      <c r="B761">
        <v>30016</v>
      </c>
      <c r="C761">
        <v>100759</v>
      </c>
      <c r="D761" s="4">
        <f t="shared" si="54"/>
        <v>130775</v>
      </c>
      <c r="F761" s="5">
        <f t="shared" si="56"/>
        <v>-1.6962117936608623E-3</v>
      </c>
      <c r="G761" s="5">
        <f t="shared" si="57"/>
        <v>3.9456771917938394E-3</v>
      </c>
    </row>
    <row r="762" spans="1:7" x14ac:dyDescent="0.25">
      <c r="A762" s="1">
        <f t="shared" si="55"/>
        <v>44226</v>
      </c>
      <c r="B762">
        <v>30040</v>
      </c>
      <c r="C762">
        <v>100450</v>
      </c>
      <c r="D762" s="4">
        <f t="shared" si="54"/>
        <v>130490</v>
      </c>
      <c r="F762" s="5">
        <f t="shared" si="56"/>
        <v>-1.2965856577679125E-3</v>
      </c>
      <c r="G762" s="5">
        <f t="shared" si="57"/>
        <v>6.6744369066484843E-4</v>
      </c>
    </row>
    <row r="763" spans="1:7" x14ac:dyDescent="0.25">
      <c r="A763" s="1">
        <f t="shared" si="55"/>
        <v>44227</v>
      </c>
      <c r="B763">
        <v>30075</v>
      </c>
      <c r="C763">
        <v>100531</v>
      </c>
      <c r="D763" s="4">
        <f t="shared" si="54"/>
        <v>130606</v>
      </c>
      <c r="F763" s="5">
        <f t="shared" si="56"/>
        <v>1.098462152985924E-3</v>
      </c>
      <c r="G763" s="5">
        <f t="shared" si="57"/>
        <v>-2.1836011553235668E-3</v>
      </c>
    </row>
    <row r="764" spans="1:7" x14ac:dyDescent="0.25">
      <c r="A764" s="1">
        <f t="shared" si="55"/>
        <v>44228</v>
      </c>
      <c r="B764">
        <v>30075</v>
      </c>
      <c r="C764">
        <v>100199</v>
      </c>
      <c r="D764" s="4">
        <f t="shared" si="54"/>
        <v>130274</v>
      </c>
      <c r="F764" s="5">
        <f t="shared" si="56"/>
        <v>1.8321119253830176E-3</v>
      </c>
      <c r="G764" s="5">
        <f t="shared" si="57"/>
        <v>-5.9918851621479918E-3</v>
      </c>
    </row>
    <row r="765" spans="1:7" x14ac:dyDescent="0.25">
      <c r="A765" s="1">
        <f t="shared" si="55"/>
        <v>44229</v>
      </c>
      <c r="B765">
        <v>30011</v>
      </c>
      <c r="C765">
        <v>100413</v>
      </c>
      <c r="D765" s="4">
        <f t="shared" si="54"/>
        <v>130424</v>
      </c>
      <c r="F765" s="5">
        <f t="shared" si="56"/>
        <v>-2.4596975236829133E-3</v>
      </c>
      <c r="G765" s="5">
        <f t="shared" si="57"/>
        <v>1.2963313821883204E-3</v>
      </c>
    </row>
    <row r="766" spans="1:7" x14ac:dyDescent="0.25">
      <c r="A766" s="1">
        <f t="shared" si="55"/>
        <v>44230</v>
      </c>
      <c r="B766">
        <v>30018</v>
      </c>
      <c r="C766">
        <v>100778</v>
      </c>
      <c r="D766" s="4">
        <f t="shared" si="54"/>
        <v>130796</v>
      </c>
      <c r="F766" s="5">
        <f t="shared" si="56"/>
        <v>-2.5585645456055461E-3</v>
      </c>
      <c r="G766" s="5">
        <f t="shared" si="57"/>
        <v>6.1399918133442366E-3</v>
      </c>
    </row>
    <row r="767" spans="1:7" x14ac:dyDescent="0.25">
      <c r="A767" s="1">
        <f t="shared" si="55"/>
        <v>44231</v>
      </c>
      <c r="B767">
        <v>30042</v>
      </c>
      <c r="C767">
        <v>100265</v>
      </c>
      <c r="D767" s="4">
        <f t="shared" si="54"/>
        <v>130307</v>
      </c>
      <c r="F767" s="5">
        <f t="shared" si="56"/>
        <v>-1.163679888286695E-3</v>
      </c>
      <c r="G767" s="5">
        <f t="shared" si="57"/>
        <v>-5.8204101058977331E-3</v>
      </c>
    </row>
    <row r="768" spans="1:7" x14ac:dyDescent="0.25">
      <c r="A768" s="1">
        <f t="shared" si="55"/>
        <v>44232</v>
      </c>
      <c r="B768">
        <v>30044</v>
      </c>
      <c r="C768">
        <v>100683</v>
      </c>
      <c r="D768" s="4">
        <f t="shared" si="54"/>
        <v>130727</v>
      </c>
      <c r="F768" s="5">
        <f t="shared" si="56"/>
        <v>9.3283582089553896E-4</v>
      </c>
      <c r="G768" s="5">
        <f t="shared" si="57"/>
        <v>-7.5427505235259318E-4</v>
      </c>
    </row>
    <row r="769" spans="1:7" x14ac:dyDescent="0.25">
      <c r="A769" s="1">
        <f t="shared" si="55"/>
        <v>44233</v>
      </c>
      <c r="B769">
        <v>30078</v>
      </c>
      <c r="C769">
        <v>100232</v>
      </c>
      <c r="D769" s="4">
        <f t="shared" si="54"/>
        <v>130310</v>
      </c>
      <c r="F769" s="5">
        <f t="shared" si="56"/>
        <v>1.2649800266311129E-3</v>
      </c>
      <c r="G769" s="5">
        <f t="shared" si="57"/>
        <v>-2.1702339472374765E-3</v>
      </c>
    </row>
    <row r="770" spans="1:7" x14ac:dyDescent="0.25">
      <c r="A770" s="1">
        <f t="shared" si="55"/>
        <v>44234</v>
      </c>
      <c r="B770">
        <v>30017</v>
      </c>
      <c r="C770">
        <v>100975</v>
      </c>
      <c r="D770" s="4">
        <f t="shared" si="54"/>
        <v>130992</v>
      </c>
      <c r="F770" s="5">
        <f t="shared" si="56"/>
        <v>-1.9285120532003264E-3</v>
      </c>
      <c r="G770" s="5">
        <f t="shared" si="57"/>
        <v>4.4165481294327069E-3</v>
      </c>
    </row>
    <row r="771" spans="1:7" x14ac:dyDescent="0.25">
      <c r="A771" s="1">
        <f t="shared" si="55"/>
        <v>44235</v>
      </c>
      <c r="B771">
        <v>30008</v>
      </c>
      <c r="C771">
        <v>100739</v>
      </c>
      <c r="D771" s="4">
        <f t="shared" ref="D771:D822" si="58">SUM(B771:C771)</f>
        <v>130747</v>
      </c>
      <c r="F771" s="5">
        <f t="shared" si="56"/>
        <v>-2.2277639235245283E-3</v>
      </c>
      <c r="G771" s="5">
        <f t="shared" si="57"/>
        <v>5.389275342069233E-3</v>
      </c>
    </row>
    <row r="772" spans="1:7" x14ac:dyDescent="0.25">
      <c r="A772" s="1">
        <f t="shared" ref="A772:A822" si="59">A771+1</f>
        <v>44236</v>
      </c>
      <c r="B772">
        <v>30028</v>
      </c>
      <c r="C772">
        <v>100850</v>
      </c>
      <c r="D772" s="4">
        <f t="shared" si="58"/>
        <v>130878</v>
      </c>
      <c r="F772" s="5">
        <f t="shared" si="56"/>
        <v>5.6645896504625703E-4</v>
      </c>
      <c r="G772" s="5">
        <f t="shared" si="57"/>
        <v>4.3520261320746378E-3</v>
      </c>
    </row>
    <row r="773" spans="1:7" x14ac:dyDescent="0.25">
      <c r="A773" s="1">
        <f t="shared" si="59"/>
        <v>44237</v>
      </c>
      <c r="B773">
        <v>30083</v>
      </c>
      <c r="C773">
        <v>100242</v>
      </c>
      <c r="D773" s="4">
        <f t="shared" si="58"/>
        <v>130325</v>
      </c>
      <c r="F773" s="5">
        <f t="shared" si="56"/>
        <v>2.1653674461989958E-3</v>
      </c>
      <c r="G773" s="5">
        <f t="shared" si="57"/>
        <v>-5.3186211276270434E-3</v>
      </c>
    </row>
    <row r="774" spans="1:7" x14ac:dyDescent="0.25">
      <c r="A774" s="1">
        <f t="shared" si="59"/>
        <v>44238</v>
      </c>
      <c r="B774">
        <v>30023</v>
      </c>
      <c r="C774">
        <v>100867</v>
      </c>
      <c r="D774" s="4">
        <f t="shared" si="58"/>
        <v>130890</v>
      </c>
      <c r="F774" s="5">
        <f t="shared" si="56"/>
        <v>-6.3244790626459935E-4</v>
      </c>
      <c r="G774" s="5">
        <f t="shared" si="57"/>
        <v>6.0040891637160865E-3</v>
      </c>
    </row>
    <row r="775" spans="1:7" x14ac:dyDescent="0.25">
      <c r="A775" s="1">
        <f t="shared" si="59"/>
        <v>44239</v>
      </c>
      <c r="B775">
        <v>30007</v>
      </c>
      <c r="C775">
        <v>100526</v>
      </c>
      <c r="D775" s="4">
        <f t="shared" si="58"/>
        <v>130533</v>
      </c>
      <c r="F775" s="5">
        <f t="shared" si="56"/>
        <v>-1.2315270935960854E-3</v>
      </c>
      <c r="G775" s="5">
        <f t="shared" si="57"/>
        <v>-1.5593496419454844E-3</v>
      </c>
    </row>
    <row r="776" spans="1:7" x14ac:dyDescent="0.25">
      <c r="A776" s="1">
        <f t="shared" si="59"/>
        <v>44240</v>
      </c>
      <c r="B776">
        <v>30045</v>
      </c>
      <c r="C776">
        <v>100683</v>
      </c>
      <c r="D776" s="4">
        <f t="shared" si="58"/>
        <v>130728</v>
      </c>
      <c r="F776" s="5">
        <f t="shared" si="56"/>
        <v>-1.0971474167165152E-3</v>
      </c>
      <c r="G776" s="5">
        <f t="shared" si="57"/>
        <v>4.4995610184372925E-3</v>
      </c>
    </row>
    <row r="777" spans="1:7" x14ac:dyDescent="0.25">
      <c r="A777" s="1">
        <f t="shared" si="59"/>
        <v>44241</v>
      </c>
      <c r="B777">
        <v>30066</v>
      </c>
      <c r="C777">
        <v>100635</v>
      </c>
      <c r="D777" s="4">
        <f t="shared" si="58"/>
        <v>130701</v>
      </c>
      <c r="F777" s="5">
        <f t="shared" si="56"/>
        <v>1.6324083019623181E-3</v>
      </c>
      <c r="G777" s="5">
        <f t="shared" si="57"/>
        <v>-3.3671700916068081E-3</v>
      </c>
    </row>
    <row r="778" spans="1:7" x14ac:dyDescent="0.25">
      <c r="A778" s="1">
        <f t="shared" si="59"/>
        <v>44242</v>
      </c>
      <c r="B778">
        <v>30099</v>
      </c>
      <c r="C778">
        <v>100639</v>
      </c>
      <c r="D778" s="4">
        <f t="shared" si="58"/>
        <v>130738</v>
      </c>
      <c r="F778" s="5">
        <f t="shared" si="56"/>
        <v>3.0325246600906297E-3</v>
      </c>
      <c r="G778" s="5">
        <f t="shared" si="57"/>
        <v>-9.9266421147714556E-4</v>
      </c>
    </row>
    <row r="779" spans="1:7" x14ac:dyDescent="0.25">
      <c r="A779" s="1">
        <f t="shared" si="59"/>
        <v>44243</v>
      </c>
      <c r="B779">
        <v>30004</v>
      </c>
      <c r="C779">
        <v>100691</v>
      </c>
      <c r="D779" s="4">
        <f t="shared" si="58"/>
        <v>130695</v>
      </c>
      <c r="F779" s="5">
        <f t="shared" si="56"/>
        <v>-7.9925402957237157E-4</v>
      </c>
      <c r="G779" s="5">
        <f t="shared" si="57"/>
        <v>-1.5765989092711985E-3</v>
      </c>
    </row>
    <row r="780" spans="1:7" x14ac:dyDescent="0.25">
      <c r="A780" s="1">
        <f t="shared" si="59"/>
        <v>44244</v>
      </c>
      <c r="B780">
        <v>30061</v>
      </c>
      <c r="C780">
        <v>100421</v>
      </c>
      <c r="D780" s="4">
        <f t="shared" si="58"/>
        <v>130482</v>
      </c>
      <c r="F780" s="5">
        <f t="shared" si="56"/>
        <v>-7.3131004221649309E-4</v>
      </c>
      <c r="G780" s="5">
        <f t="shared" si="57"/>
        <v>1.7856786576484485E-3</v>
      </c>
    </row>
    <row r="781" spans="1:7" x14ac:dyDescent="0.25">
      <c r="A781" s="1">
        <f t="shared" si="59"/>
        <v>44245</v>
      </c>
      <c r="B781">
        <v>30028</v>
      </c>
      <c r="C781">
        <v>100795</v>
      </c>
      <c r="D781" s="4">
        <f t="shared" si="58"/>
        <v>130823</v>
      </c>
      <c r="F781" s="5">
        <f t="shared" si="56"/>
        <v>1.6653898677687629E-4</v>
      </c>
      <c r="G781" s="5">
        <f t="shared" si="57"/>
        <v>-7.1381125640690435E-4</v>
      </c>
    </row>
    <row r="782" spans="1:7" x14ac:dyDescent="0.25">
      <c r="A782" s="1">
        <f t="shared" si="59"/>
        <v>44246</v>
      </c>
      <c r="B782">
        <v>30016</v>
      </c>
      <c r="C782">
        <v>100171</v>
      </c>
      <c r="D782" s="4">
        <f t="shared" si="58"/>
        <v>130187</v>
      </c>
      <c r="F782" s="5">
        <f t="shared" si="56"/>
        <v>2.9993001632955263E-4</v>
      </c>
      <c r="G782" s="5">
        <f t="shared" si="57"/>
        <v>-3.5314247060461712E-3</v>
      </c>
    </row>
    <row r="783" spans="1:7" x14ac:dyDescent="0.25">
      <c r="A783" s="1">
        <f t="shared" si="59"/>
        <v>44247</v>
      </c>
      <c r="B783">
        <v>30034</v>
      </c>
      <c r="C783">
        <v>100257</v>
      </c>
      <c r="D783" s="4">
        <f t="shared" si="58"/>
        <v>130291</v>
      </c>
      <c r="F783" s="5">
        <f t="shared" si="56"/>
        <v>-3.6611749043102826E-4</v>
      </c>
      <c r="G783" s="5">
        <f t="shared" si="57"/>
        <v>-4.2311015762342974E-3</v>
      </c>
    </row>
    <row r="784" spans="1:7" x14ac:dyDescent="0.25">
      <c r="A784" s="1">
        <f t="shared" si="59"/>
        <v>44248</v>
      </c>
      <c r="B784">
        <v>30002</v>
      </c>
      <c r="C784">
        <v>100490</v>
      </c>
      <c r="D784" s="4">
        <f t="shared" si="58"/>
        <v>130492</v>
      </c>
      <c r="F784" s="5">
        <f t="shared" si="56"/>
        <v>-2.1286503026675119E-3</v>
      </c>
      <c r="G784" s="5">
        <f t="shared" si="57"/>
        <v>-1.4408505986982512E-3</v>
      </c>
    </row>
    <row r="785" spans="1:7" x14ac:dyDescent="0.25">
      <c r="A785" s="1">
        <f t="shared" si="59"/>
        <v>44249</v>
      </c>
      <c r="B785">
        <v>30086</v>
      </c>
      <c r="C785">
        <v>100752</v>
      </c>
      <c r="D785" s="4">
        <f t="shared" si="58"/>
        <v>130838</v>
      </c>
      <c r="F785" s="5">
        <f t="shared" si="56"/>
        <v>-4.3190803681181222E-4</v>
      </c>
      <c r="G785" s="5">
        <f t="shared" si="57"/>
        <v>1.1228251473087703E-3</v>
      </c>
    </row>
    <row r="786" spans="1:7" x14ac:dyDescent="0.25">
      <c r="A786" s="1">
        <f t="shared" si="59"/>
        <v>44250</v>
      </c>
      <c r="B786">
        <v>30031</v>
      </c>
      <c r="C786">
        <v>100851</v>
      </c>
      <c r="D786" s="4">
        <f t="shared" si="58"/>
        <v>130882</v>
      </c>
      <c r="F786" s="5">
        <f t="shared" si="56"/>
        <v>8.9988001599783374E-4</v>
      </c>
      <c r="G786" s="5">
        <f t="shared" si="57"/>
        <v>1.5890198726797866E-3</v>
      </c>
    </row>
    <row r="787" spans="1:7" x14ac:dyDescent="0.25">
      <c r="A787" s="1">
        <f t="shared" si="59"/>
        <v>44251</v>
      </c>
      <c r="B787">
        <v>30036</v>
      </c>
      <c r="C787">
        <v>100314</v>
      </c>
      <c r="D787" s="4">
        <f t="shared" si="58"/>
        <v>130350</v>
      </c>
      <c r="F787" s="5">
        <f t="shared" si="56"/>
        <v>-8.3164232726784526E-4</v>
      </c>
      <c r="G787" s="5">
        <f t="shared" si="57"/>
        <v>-1.0655141852800032E-3</v>
      </c>
    </row>
    <row r="788" spans="1:7" x14ac:dyDescent="0.25">
      <c r="A788" s="1">
        <f t="shared" si="59"/>
        <v>44252</v>
      </c>
      <c r="B788">
        <v>30078</v>
      </c>
      <c r="C788">
        <v>100234</v>
      </c>
      <c r="D788" s="4">
        <f t="shared" si="58"/>
        <v>130312</v>
      </c>
      <c r="F788" s="5">
        <f t="shared" ref="F788:F822" si="60">(B788/B781)-1</f>
        <v>1.6651125616091722E-3</v>
      </c>
      <c r="G788" s="5">
        <f t="shared" ref="G788:G822" si="61">(C788/C781)-1</f>
        <v>-5.5657522694577688E-3</v>
      </c>
    </row>
    <row r="789" spans="1:7" x14ac:dyDescent="0.25">
      <c r="A789" s="1">
        <f t="shared" si="59"/>
        <v>44253</v>
      </c>
      <c r="B789">
        <v>30021</v>
      </c>
      <c r="C789">
        <v>100154</v>
      </c>
      <c r="D789" s="4">
        <f t="shared" si="58"/>
        <v>130175</v>
      </c>
      <c r="F789" s="5">
        <f t="shared" si="60"/>
        <v>1.6657782515983044E-4</v>
      </c>
      <c r="G789" s="5">
        <f t="shared" si="61"/>
        <v>-1.6970979624841842E-4</v>
      </c>
    </row>
    <row r="790" spans="1:7" x14ac:dyDescent="0.25">
      <c r="A790" s="1">
        <f t="shared" si="59"/>
        <v>44254</v>
      </c>
      <c r="B790">
        <v>30082</v>
      </c>
      <c r="C790">
        <v>100934</v>
      </c>
      <c r="D790" s="4">
        <f t="shared" si="58"/>
        <v>131016</v>
      </c>
      <c r="F790" s="5">
        <f t="shared" si="60"/>
        <v>1.5981887194513877E-3</v>
      </c>
      <c r="G790" s="5">
        <f t="shared" si="61"/>
        <v>6.7526457005495644E-3</v>
      </c>
    </row>
    <row r="791" spans="1:7" x14ac:dyDescent="0.25">
      <c r="A791" s="1">
        <f t="shared" si="59"/>
        <v>44255</v>
      </c>
      <c r="B791">
        <v>30032</v>
      </c>
      <c r="C791">
        <v>100336</v>
      </c>
      <c r="D791" s="4">
        <f t="shared" si="58"/>
        <v>130368</v>
      </c>
      <c r="F791" s="5">
        <f t="shared" si="60"/>
        <v>9.9993333777748106E-4</v>
      </c>
      <c r="G791" s="5">
        <f t="shared" si="61"/>
        <v>-1.5324907951039801E-3</v>
      </c>
    </row>
    <row r="792" spans="1:7" x14ac:dyDescent="0.25">
      <c r="A792" s="1">
        <f t="shared" si="59"/>
        <v>44256</v>
      </c>
      <c r="B792">
        <v>30057</v>
      </c>
      <c r="C792">
        <v>100549</v>
      </c>
      <c r="D792" s="4">
        <f t="shared" si="58"/>
        <v>130606</v>
      </c>
      <c r="F792" s="5">
        <f t="shared" si="60"/>
        <v>-9.6390347670016752E-4</v>
      </c>
      <c r="G792" s="5">
        <f t="shared" si="61"/>
        <v>-2.0148483404796025E-3</v>
      </c>
    </row>
    <row r="793" spans="1:7" x14ac:dyDescent="0.25">
      <c r="A793" s="1">
        <f t="shared" si="59"/>
        <v>44257</v>
      </c>
      <c r="B793">
        <v>30055</v>
      </c>
      <c r="C793">
        <v>100535</v>
      </c>
      <c r="D793" s="4">
        <f t="shared" si="58"/>
        <v>130590</v>
      </c>
      <c r="F793" s="5">
        <f t="shared" si="60"/>
        <v>7.9917418667374562E-4</v>
      </c>
      <c r="G793" s="5">
        <f t="shared" si="61"/>
        <v>-3.1333353164569866E-3</v>
      </c>
    </row>
    <row r="794" spans="1:7" x14ac:dyDescent="0.25">
      <c r="A794" s="1">
        <f t="shared" si="59"/>
        <v>44258</v>
      </c>
      <c r="B794">
        <v>30074</v>
      </c>
      <c r="C794">
        <v>100248</v>
      </c>
      <c r="D794" s="4">
        <f t="shared" si="58"/>
        <v>130322</v>
      </c>
      <c r="F794" s="5">
        <f t="shared" si="60"/>
        <v>1.265148488480472E-3</v>
      </c>
      <c r="G794" s="5">
        <f t="shared" si="61"/>
        <v>-6.5793408696690481E-4</v>
      </c>
    </row>
    <row r="795" spans="1:7" x14ac:dyDescent="0.25">
      <c r="A795" s="1">
        <f t="shared" si="59"/>
        <v>44259</v>
      </c>
      <c r="B795">
        <v>30060</v>
      </c>
      <c r="C795">
        <v>100600</v>
      </c>
      <c r="D795" s="4">
        <f t="shared" si="58"/>
        <v>130660</v>
      </c>
      <c r="F795" s="5">
        <f t="shared" si="60"/>
        <v>-5.9844404548170527E-4</v>
      </c>
      <c r="G795" s="5">
        <f t="shared" si="61"/>
        <v>3.6514555939102245E-3</v>
      </c>
    </row>
    <row r="796" spans="1:7" x14ac:dyDescent="0.25">
      <c r="A796" s="1">
        <f t="shared" si="59"/>
        <v>44260</v>
      </c>
      <c r="B796">
        <v>30085</v>
      </c>
      <c r="C796">
        <v>100316</v>
      </c>
      <c r="D796" s="4">
        <f t="shared" si="58"/>
        <v>130401</v>
      </c>
      <c r="F796" s="5">
        <f t="shared" si="60"/>
        <v>2.1318410446020675E-3</v>
      </c>
      <c r="G796" s="5">
        <f t="shared" si="61"/>
        <v>1.6175090360843747E-3</v>
      </c>
    </row>
    <row r="797" spans="1:7" x14ac:dyDescent="0.25">
      <c r="A797" s="1">
        <f t="shared" si="59"/>
        <v>44261</v>
      </c>
      <c r="B797">
        <v>30087</v>
      </c>
      <c r="C797">
        <v>100933</v>
      </c>
      <c r="D797" s="4">
        <f t="shared" si="58"/>
        <v>131020</v>
      </c>
      <c r="F797" s="5">
        <f t="shared" si="60"/>
        <v>1.6621235290203984E-4</v>
      </c>
      <c r="G797" s="5">
        <f t="shared" si="61"/>
        <v>-9.9074642836427529E-6</v>
      </c>
    </row>
    <row r="798" spans="1:7" x14ac:dyDescent="0.25">
      <c r="A798" s="1">
        <f t="shared" si="59"/>
        <v>44262</v>
      </c>
      <c r="B798">
        <v>30081</v>
      </c>
      <c r="C798">
        <v>100215</v>
      </c>
      <c r="D798" s="4">
        <f t="shared" si="58"/>
        <v>130296</v>
      </c>
      <c r="F798" s="5">
        <f t="shared" si="60"/>
        <v>1.6315929675012608E-3</v>
      </c>
      <c r="G798" s="5">
        <f t="shared" si="61"/>
        <v>-1.2059480146706658E-3</v>
      </c>
    </row>
    <row r="799" spans="1:7" x14ac:dyDescent="0.25">
      <c r="A799" s="1">
        <f t="shared" si="59"/>
        <v>44263</v>
      </c>
      <c r="B799">
        <v>30093</v>
      </c>
      <c r="C799">
        <v>100854</v>
      </c>
      <c r="D799" s="4">
        <f t="shared" si="58"/>
        <v>130947</v>
      </c>
      <c r="F799" s="5">
        <f t="shared" si="60"/>
        <v>1.1977243237848434E-3</v>
      </c>
      <c r="G799" s="5">
        <f t="shared" si="61"/>
        <v>3.0333469253795986E-3</v>
      </c>
    </row>
    <row r="800" spans="1:7" x14ac:dyDescent="0.25">
      <c r="A800" s="1">
        <f t="shared" si="59"/>
        <v>44264</v>
      </c>
      <c r="B800">
        <v>30025</v>
      </c>
      <c r="C800">
        <v>100580</v>
      </c>
      <c r="D800" s="4">
        <f t="shared" si="58"/>
        <v>130605</v>
      </c>
      <c r="F800" s="5">
        <f t="shared" si="60"/>
        <v>-9.9817002162705393E-4</v>
      </c>
      <c r="G800" s="5">
        <f t="shared" si="61"/>
        <v>4.476053115829437E-4</v>
      </c>
    </row>
    <row r="801" spans="1:7" x14ac:dyDescent="0.25">
      <c r="A801" s="1">
        <f t="shared" si="59"/>
        <v>44265</v>
      </c>
      <c r="B801">
        <v>30063</v>
      </c>
      <c r="C801">
        <v>100113</v>
      </c>
      <c r="D801" s="4">
        <f t="shared" si="58"/>
        <v>130176</v>
      </c>
      <c r="F801" s="5">
        <f t="shared" si="60"/>
        <v>-3.6576444769564898E-4</v>
      </c>
      <c r="G801" s="5">
        <f t="shared" si="61"/>
        <v>-1.3466602824994123E-3</v>
      </c>
    </row>
    <row r="802" spans="1:7" x14ac:dyDescent="0.25">
      <c r="A802" s="1">
        <f t="shared" si="59"/>
        <v>44266</v>
      </c>
      <c r="B802">
        <v>30061</v>
      </c>
      <c r="C802">
        <v>100232</v>
      </c>
      <c r="D802" s="4">
        <f t="shared" si="58"/>
        <v>130293</v>
      </c>
      <c r="F802" s="5">
        <f t="shared" si="60"/>
        <v>3.326679973381097E-5</v>
      </c>
      <c r="G802" s="5">
        <f t="shared" si="61"/>
        <v>-3.6580516898608861E-3</v>
      </c>
    </row>
    <row r="803" spans="1:7" x14ac:dyDescent="0.25">
      <c r="A803" s="1">
        <f t="shared" si="59"/>
        <v>44267</v>
      </c>
      <c r="B803">
        <v>30022</v>
      </c>
      <c r="C803">
        <v>100413</v>
      </c>
      <c r="D803" s="4">
        <f t="shared" si="58"/>
        <v>130435</v>
      </c>
      <c r="F803" s="5">
        <f t="shared" si="60"/>
        <v>-2.0940668107030103E-3</v>
      </c>
      <c r="G803" s="5">
        <f t="shared" si="61"/>
        <v>9.6694445552047981E-4</v>
      </c>
    </row>
    <row r="804" spans="1:7" x14ac:dyDescent="0.25">
      <c r="A804" s="1">
        <f t="shared" si="59"/>
        <v>44268</v>
      </c>
      <c r="B804">
        <v>30069</v>
      </c>
      <c r="C804">
        <v>100150</v>
      </c>
      <c r="D804" s="4">
        <f t="shared" si="58"/>
        <v>130219</v>
      </c>
      <c r="F804" s="5">
        <f t="shared" si="60"/>
        <v>-5.9826503140891774E-4</v>
      </c>
      <c r="G804" s="5">
        <f t="shared" si="61"/>
        <v>-7.7576213924088755E-3</v>
      </c>
    </row>
    <row r="805" spans="1:7" x14ac:dyDescent="0.25">
      <c r="A805" s="1">
        <f t="shared" si="59"/>
        <v>44269</v>
      </c>
      <c r="B805">
        <v>30074</v>
      </c>
      <c r="C805">
        <v>100699</v>
      </c>
      <c r="D805" s="4">
        <f t="shared" si="58"/>
        <v>130773</v>
      </c>
      <c r="F805" s="5">
        <f t="shared" si="60"/>
        <v>-2.3270502975303309E-4</v>
      </c>
      <c r="G805" s="5">
        <f t="shared" si="61"/>
        <v>4.8296163249015311E-3</v>
      </c>
    </row>
    <row r="806" spans="1:7" x14ac:dyDescent="0.25">
      <c r="A806" s="1">
        <f t="shared" si="59"/>
        <v>44270</v>
      </c>
      <c r="B806">
        <v>30042</v>
      </c>
      <c r="C806">
        <v>100583</v>
      </c>
      <c r="D806" s="4">
        <f t="shared" si="58"/>
        <v>130625</v>
      </c>
      <c r="F806" s="5">
        <f t="shared" si="60"/>
        <v>-1.6947462865117835E-3</v>
      </c>
      <c r="G806" s="5">
        <f t="shared" si="61"/>
        <v>-2.6870525710432913E-3</v>
      </c>
    </row>
    <row r="807" spans="1:7" x14ac:dyDescent="0.25">
      <c r="A807" s="1">
        <f t="shared" si="59"/>
        <v>44271</v>
      </c>
      <c r="B807">
        <v>30099</v>
      </c>
      <c r="C807">
        <v>100146</v>
      </c>
      <c r="D807" s="4">
        <f t="shared" si="58"/>
        <v>130245</v>
      </c>
      <c r="F807" s="5">
        <f t="shared" si="60"/>
        <v>2.4646128226477604E-3</v>
      </c>
      <c r="G807" s="5">
        <f t="shared" si="61"/>
        <v>-4.3149731556969551E-3</v>
      </c>
    </row>
    <row r="808" spans="1:7" x14ac:dyDescent="0.25">
      <c r="A808" s="1">
        <f t="shared" si="59"/>
        <v>44272</v>
      </c>
      <c r="B808">
        <v>30036</v>
      </c>
      <c r="C808">
        <v>100796</v>
      </c>
      <c r="D808" s="4">
        <f t="shared" si="58"/>
        <v>130832</v>
      </c>
      <c r="F808" s="5">
        <f t="shared" si="60"/>
        <v>-8.981139606825117E-4</v>
      </c>
      <c r="G808" s="5">
        <f t="shared" si="61"/>
        <v>6.8222908113830805E-3</v>
      </c>
    </row>
    <row r="809" spans="1:7" x14ac:dyDescent="0.25">
      <c r="A809" s="1">
        <f t="shared" si="59"/>
        <v>44273</v>
      </c>
      <c r="B809">
        <v>30095</v>
      </c>
      <c r="C809">
        <v>100562</v>
      </c>
      <c r="D809" s="4">
        <f t="shared" si="58"/>
        <v>130657</v>
      </c>
      <c r="F809" s="5">
        <f t="shared" si="60"/>
        <v>1.1310335650842607E-3</v>
      </c>
      <c r="G809" s="5">
        <f t="shared" si="61"/>
        <v>3.2923617208078237E-3</v>
      </c>
    </row>
    <row r="810" spans="1:7" x14ac:dyDescent="0.25">
      <c r="A810" s="1">
        <f t="shared" si="59"/>
        <v>44274</v>
      </c>
      <c r="B810">
        <v>30090</v>
      </c>
      <c r="C810">
        <v>100715</v>
      </c>
      <c r="D810" s="4">
        <f t="shared" si="58"/>
        <v>130805</v>
      </c>
      <c r="F810" s="5">
        <f t="shared" si="60"/>
        <v>2.2650056625141968E-3</v>
      </c>
      <c r="G810" s="5">
        <f t="shared" si="61"/>
        <v>3.0075786999690379E-3</v>
      </c>
    </row>
    <row r="811" spans="1:7" x14ac:dyDescent="0.25">
      <c r="A811" s="1">
        <f t="shared" si="59"/>
        <v>44275</v>
      </c>
      <c r="B811">
        <v>30093</v>
      </c>
      <c r="C811">
        <v>100290</v>
      </c>
      <c r="D811" s="4">
        <f t="shared" si="58"/>
        <v>130383</v>
      </c>
      <c r="F811" s="5">
        <f t="shared" si="60"/>
        <v>7.9816422228873307E-4</v>
      </c>
      <c r="G811" s="5">
        <f t="shared" si="61"/>
        <v>1.3979031452819868E-3</v>
      </c>
    </row>
    <row r="812" spans="1:7" x14ac:dyDescent="0.25">
      <c r="A812" s="1">
        <f t="shared" si="59"/>
        <v>44276</v>
      </c>
      <c r="B812">
        <v>30014</v>
      </c>
      <c r="C812">
        <v>100839</v>
      </c>
      <c r="D812" s="4">
        <f t="shared" si="58"/>
        <v>130853</v>
      </c>
      <c r="F812" s="5">
        <f t="shared" si="60"/>
        <v>-1.9950788056127822E-3</v>
      </c>
      <c r="G812" s="5">
        <f t="shared" si="61"/>
        <v>1.3902819293141189E-3</v>
      </c>
    </row>
    <row r="813" spans="1:7" x14ac:dyDescent="0.25">
      <c r="A813" s="1">
        <f t="shared" si="59"/>
        <v>44277</v>
      </c>
      <c r="B813">
        <v>30084</v>
      </c>
      <c r="C813">
        <v>100507</v>
      </c>
      <c r="D813" s="4">
        <f t="shared" si="58"/>
        <v>130591</v>
      </c>
      <c r="F813" s="5">
        <f t="shared" si="60"/>
        <v>1.3980427401638629E-3</v>
      </c>
      <c r="G813" s="5">
        <f t="shared" si="61"/>
        <v>-7.5559488183885026E-4</v>
      </c>
    </row>
    <row r="814" spans="1:7" x14ac:dyDescent="0.25">
      <c r="A814" s="1">
        <f t="shared" si="59"/>
        <v>44278</v>
      </c>
      <c r="B814">
        <v>30038</v>
      </c>
      <c r="C814">
        <v>100556</v>
      </c>
      <c r="D814" s="4">
        <f t="shared" si="58"/>
        <v>130594</v>
      </c>
      <c r="F814" s="5">
        <f t="shared" si="60"/>
        <v>-2.0266454035017256E-3</v>
      </c>
      <c r="G814" s="5">
        <f t="shared" si="61"/>
        <v>4.0940227268189133E-3</v>
      </c>
    </row>
    <row r="815" spans="1:7" x14ac:dyDescent="0.25">
      <c r="A815" s="1">
        <f t="shared" si="59"/>
        <v>44279</v>
      </c>
      <c r="B815">
        <v>30035</v>
      </c>
      <c r="C815">
        <v>100826</v>
      </c>
      <c r="D815" s="4">
        <f t="shared" si="58"/>
        <v>130861</v>
      </c>
      <c r="F815" s="5">
        <f t="shared" si="60"/>
        <v>-3.3293381275778522E-5</v>
      </c>
      <c r="G815" s="5">
        <f t="shared" si="61"/>
        <v>2.9763085836731484E-4</v>
      </c>
    </row>
    <row r="816" spans="1:7" x14ac:dyDescent="0.25">
      <c r="A816" s="1">
        <f t="shared" si="59"/>
        <v>44280</v>
      </c>
      <c r="B816">
        <v>30077</v>
      </c>
      <c r="C816">
        <v>100681</v>
      </c>
      <c r="D816" s="4">
        <f t="shared" si="58"/>
        <v>130758</v>
      </c>
      <c r="F816" s="5">
        <f t="shared" si="60"/>
        <v>-5.9810599767406991E-4</v>
      </c>
      <c r="G816" s="5">
        <f t="shared" si="61"/>
        <v>1.1833495753863499E-3</v>
      </c>
    </row>
    <row r="817" spans="1:7" x14ac:dyDescent="0.25">
      <c r="A817" s="1">
        <f t="shared" si="59"/>
        <v>44281</v>
      </c>
      <c r="B817">
        <v>30092</v>
      </c>
      <c r="C817">
        <v>100909</v>
      </c>
      <c r="D817" s="4">
        <f t="shared" si="58"/>
        <v>131001</v>
      </c>
      <c r="F817" s="5">
        <f t="shared" si="60"/>
        <v>6.6467264872027698E-5</v>
      </c>
      <c r="G817" s="5">
        <f t="shared" si="61"/>
        <v>1.9262274735640794E-3</v>
      </c>
    </row>
    <row r="818" spans="1:7" x14ac:dyDescent="0.25">
      <c r="A818" s="1">
        <f t="shared" si="59"/>
        <v>44282</v>
      </c>
      <c r="B818">
        <v>30000</v>
      </c>
      <c r="C818">
        <v>100418</v>
      </c>
      <c r="D818" s="4">
        <f t="shared" si="58"/>
        <v>130418</v>
      </c>
      <c r="F818" s="5">
        <f t="shared" si="60"/>
        <v>-3.090419698933311E-3</v>
      </c>
      <c r="G818" s="5">
        <f t="shared" si="61"/>
        <v>1.2762987336722986E-3</v>
      </c>
    </row>
    <row r="819" spans="1:7" x14ac:dyDescent="0.25">
      <c r="A819" s="1">
        <f t="shared" si="59"/>
        <v>44283</v>
      </c>
      <c r="B819">
        <v>30066</v>
      </c>
      <c r="C819">
        <v>100675</v>
      </c>
      <c r="D819" s="4">
        <f t="shared" si="58"/>
        <v>130741</v>
      </c>
      <c r="F819" s="5">
        <f t="shared" si="60"/>
        <v>1.7325248217499034E-3</v>
      </c>
      <c r="G819" s="5">
        <f t="shared" si="61"/>
        <v>-1.6263548825354857E-3</v>
      </c>
    </row>
    <row r="820" spans="1:7" x14ac:dyDescent="0.25">
      <c r="A820" s="1">
        <f t="shared" si="59"/>
        <v>44284</v>
      </c>
      <c r="B820">
        <v>30094</v>
      </c>
      <c r="C820">
        <v>100180</v>
      </c>
      <c r="D820" s="4">
        <f t="shared" si="58"/>
        <v>130274</v>
      </c>
      <c r="F820" s="5">
        <f t="shared" si="60"/>
        <v>3.3240260603650817E-4</v>
      </c>
      <c r="G820" s="5">
        <f t="shared" si="61"/>
        <v>-3.2535047310137122E-3</v>
      </c>
    </row>
    <row r="821" spans="1:7" x14ac:dyDescent="0.25">
      <c r="A821" s="1">
        <f t="shared" si="59"/>
        <v>44285</v>
      </c>
      <c r="B821">
        <v>30051</v>
      </c>
      <c r="C821">
        <v>100843</v>
      </c>
      <c r="D821" s="4">
        <f t="shared" si="58"/>
        <v>130894</v>
      </c>
      <c r="F821" s="5">
        <f t="shared" si="60"/>
        <v>4.3278513882416547E-4</v>
      </c>
      <c r="G821" s="5">
        <f t="shared" si="61"/>
        <v>2.8541310314651458E-3</v>
      </c>
    </row>
    <row r="822" spans="1:7" x14ac:dyDescent="0.25">
      <c r="A822" s="1">
        <f t="shared" si="59"/>
        <v>44286</v>
      </c>
      <c r="B822">
        <v>30069</v>
      </c>
      <c r="C822">
        <v>100731</v>
      </c>
      <c r="D822" s="4">
        <f t="shared" si="58"/>
        <v>130800</v>
      </c>
      <c r="F822" s="5">
        <f t="shared" si="60"/>
        <v>1.1320126519061002E-3</v>
      </c>
      <c r="G822" s="5">
        <f t="shared" si="61"/>
        <v>-9.4221728522403403E-4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Sessions</vt:lpstr>
      <vt:lpstr>Total 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Kharol</dc:creator>
  <cp:lastModifiedBy>jayanth rao</cp:lastModifiedBy>
  <dcterms:created xsi:type="dcterms:W3CDTF">2023-11-16T10:45:28Z</dcterms:created>
  <dcterms:modified xsi:type="dcterms:W3CDTF">2025-10-27T14:47:28Z</dcterms:modified>
</cp:coreProperties>
</file>